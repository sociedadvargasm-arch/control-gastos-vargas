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gistro de Gastos" sheetId="1" state="visible" r:id="rId1"/>
    <sheet xmlns:r="http://schemas.openxmlformats.org/officeDocument/2006/relationships" name="Resumen por Categoría" sheetId="2" state="visible" r:id="rId2"/>
    <sheet xmlns:r="http://schemas.openxmlformats.org/officeDocument/2006/relationships" name="Dashboard" sheetId="3" state="visible" r:id="rId3"/>
    <sheet xmlns:r="http://schemas.openxmlformats.org/officeDocument/2006/relationships" name="Presupuesto" sheetId="4" state="visible" r:id="rId4"/>
    <sheet xmlns:r="http://schemas.openxmlformats.org/officeDocument/2006/relationships" name="Plantillas de Prompt"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8">
    <numFmt numFmtId="164" formatCode="dd/mm/yyyy"/>
    <numFmt numFmtId="165" formatCode="\$#,##0;&quot;($&quot;#,##0\);\-"/>
    <numFmt numFmtId="166" formatCode="&quot;USD &quot;#,##0.00"/>
    <numFmt numFmtId="167" formatCode="&quot;EUR &quot;#,##0.00"/>
    <numFmt numFmtId="168" formatCode="0.0%;0.0%;\-"/>
    <numFmt numFmtId="169" formatCode="DD/MM/YYYY"/>
    <numFmt numFmtId="170" formatCode="$#,##0;($#,##0);&quot;-&quot;"/>
    <numFmt numFmtId="171" formatCode="0.0%;0.0%;&quot;-&quot;"/>
  </numFmts>
  <fonts count="43">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1B5E20"/>
      <sz val="9"/>
    </font>
    <font>
      <name val="Arial"/>
      <charset val="1"/>
      <family val="0"/>
      <b val="1"/>
      <color rgb="FFFFFFFF"/>
      <sz val="9"/>
    </font>
    <font>
      <name val="Arial"/>
      <charset val="1"/>
      <family val="0"/>
      <color rgb="FF000000"/>
      <sz val="9"/>
    </font>
    <font>
      <name val="Arial"/>
      <charset val="1"/>
      <family val="0"/>
      <color rgb="FF0000FF"/>
      <sz val="9"/>
    </font>
    <font>
      <name val="Arial"/>
      <charset val="1"/>
      <family val="0"/>
      <b val="1"/>
      <color rgb="FFFFFFFF"/>
      <sz val="11"/>
    </font>
    <font>
      <name val="Arial"/>
      <charset val="1"/>
      <family val="0"/>
      <b val="1"/>
      <color rgb="FFFFFFFF"/>
      <sz val="13"/>
    </font>
    <font>
      <name val="Arial"/>
      <charset val="1"/>
      <family val="0"/>
      <b val="1"/>
      <color rgb="FF000000"/>
      <sz val="9"/>
    </font>
    <font>
      <name val="Arial"/>
      <charset val="1"/>
      <family val="0"/>
      <b val="1"/>
      <color rgb="FF0000FF"/>
      <sz val="10"/>
    </font>
    <font>
      <name val="Arial"/>
      <charset val="1"/>
      <family val="0"/>
      <i val="1"/>
      <color rgb="FF757575"/>
      <sz val="8"/>
    </font>
    <font>
      <name val="Arial"/>
      <charset val="1"/>
      <family val="0"/>
      <color rgb="FF9E9E9E"/>
      <sz val="8"/>
    </font>
    <font>
      <name val="Arial"/>
      <charset val="1"/>
      <family val="0"/>
      <b val="1"/>
      <color rgb="FFFFFFFF"/>
      <sz val="10"/>
    </font>
    <font>
      <name val="Arial"/>
      <charset val="1"/>
      <family val="0"/>
      <b val="1"/>
      <color rgb="FFFFFFFF"/>
      <sz val="8"/>
    </font>
    <font>
      <name val="Calibri"/>
      <family val="2"/>
      <b val="1"/>
      <color rgb="FF000000"/>
      <sz val="18"/>
    </font>
    <font>
      <name val="Calibri"/>
      <family val="2"/>
      <color rgb="FF000000"/>
      <sz val="10"/>
    </font>
    <font>
      <name val="Calibri"/>
      <family val="2"/>
      <b val="1"/>
      <color rgb="FF000000"/>
      <sz val="10"/>
    </font>
    <font>
      <name val="Arial"/>
      <charset val="1"/>
      <family val="0"/>
      <b val="1"/>
      <sz val="11"/>
    </font>
    <font>
      <name val="Arial"/>
      <charset val="1"/>
      <family val="0"/>
      <b val="1"/>
      <color rgb="FF0000FF"/>
      <sz val="13"/>
    </font>
    <font>
      <name val="Arial"/>
      <charset val="1"/>
      <family val="0"/>
      <b val="1"/>
      <color rgb="FFB71C1C"/>
      <sz val="10"/>
    </font>
    <font>
      <name val="Arial"/>
      <charset val="1"/>
      <family val="0"/>
      <i val="1"/>
      <color rgb="FFB71C1C"/>
      <sz val="8"/>
    </font>
    <font>
      <name val="Arial"/>
      <charset val="1"/>
      <family val="0"/>
      <b val="1"/>
      <color rgb="FFFFFFFF"/>
      <sz val="12"/>
    </font>
    <font>
      <name val="Arial"/>
      <charset val="1"/>
      <family val="0"/>
      <i val="1"/>
      <color rgb="FF424242"/>
      <sz val="9"/>
    </font>
    <font>
      <name val="Arial"/>
      <sz val="9"/>
    </font>
    <font>
      <name val="Arial"/>
      <b val="1"/>
      <color rgb="00FFFFFF"/>
      <sz val="14"/>
    </font>
    <font>
      <name val="Arial"/>
      <i val="1"/>
      <color rgb="001B5E20"/>
      <sz val="9"/>
    </font>
    <font>
      <name val="Arial"/>
      <b val="1"/>
      <color rgb="00FFFFFF"/>
      <sz val="9"/>
    </font>
    <font>
      <name val="Arial"/>
      <color rgb="000000FF"/>
      <sz val="9"/>
    </font>
    <font>
      <name val="Arial"/>
      <b val="1"/>
      <color rgb="00FFFFFF"/>
      <sz val="11"/>
    </font>
    <font>
      <name val="Arial"/>
      <b val="1"/>
      <color rgb="00FFFFFF"/>
      <sz val="13"/>
    </font>
    <font>
      <name val="Arial"/>
      <b val="1"/>
      <sz val="11"/>
    </font>
    <font>
      <name val="Arial"/>
      <b val="1"/>
      <color rgb="000000FF"/>
      <sz val="13"/>
    </font>
    <font>
      <name val="Arial"/>
      <b val="1"/>
      <color rgb="00C62828"/>
      <sz val="10"/>
    </font>
    <font>
      <name val="Arial"/>
      <b val="1"/>
      <sz val="9"/>
    </font>
    <font>
      <name val="Arial"/>
      <b val="1"/>
      <color rgb="000000FF"/>
    </font>
    <font>
      <name val="Arial"/>
      <i val="1"/>
      <color rgb="00757575"/>
      <sz val="8"/>
    </font>
    <font>
      <name val="Arial"/>
      <color rgb="000000FF"/>
    </font>
    <font>
      <name val="Arial"/>
      <color rgb="009E9E9E"/>
      <sz val="8"/>
    </font>
    <font>
      <name val="Arial"/>
      <b val="1"/>
      <color rgb="000000FF"/>
      <sz val="10"/>
    </font>
    <font>
      <name val="Arial"/>
      <color rgb="000000FF"/>
      <sz val="10"/>
    </font>
  </fonts>
  <fills count="22">
    <fill>
      <patternFill/>
    </fill>
    <fill>
      <patternFill patternType="gray125"/>
    </fill>
    <fill>
      <patternFill patternType="solid">
        <fgColor rgb="FF1B5E20"/>
        <bgColor rgb="FF00695C"/>
      </patternFill>
    </fill>
    <fill>
      <patternFill patternType="solid">
        <fgColor rgb="FFE8F5E9"/>
        <bgColor rgb="FFF1F8E9"/>
      </patternFill>
    </fill>
    <fill>
      <patternFill patternType="solid">
        <fgColor rgb="FF2E7D32"/>
        <bgColor rgb="FF1B5E20"/>
      </patternFill>
    </fill>
    <fill>
      <patternFill patternType="solid">
        <fgColor rgb="FFF1F8E9"/>
        <bgColor rgb="FFE8F5E9"/>
      </patternFill>
    </fill>
    <fill>
      <patternFill patternType="solid">
        <fgColor rgb="FFFFFFFF"/>
        <bgColor rgb="FFFAFAFA"/>
      </patternFill>
    </fill>
    <fill>
      <patternFill patternType="solid">
        <fgColor rgb="FFFFFFE0"/>
        <bgColor rgb="FFFAFAFA"/>
      </patternFill>
    </fill>
    <fill>
      <patternFill patternType="solid">
        <fgColor rgb="FF1565C0"/>
        <bgColor rgb="FF4672A8"/>
      </patternFill>
    </fill>
    <fill>
      <patternFill patternType="solid">
        <fgColor rgb="FF6A1B9A"/>
        <bgColor rgb="FF800080"/>
      </patternFill>
    </fill>
    <fill>
      <patternFill patternType="solid">
        <fgColor rgb="FFF9A825"/>
        <bgColor rgb="FFFFCC00"/>
      </patternFill>
    </fill>
    <fill>
      <patternFill patternType="solid">
        <fgColor rgb="FF00695C"/>
        <bgColor rgb="FF1B5E20"/>
      </patternFill>
    </fill>
    <fill>
      <patternFill patternType="solid">
        <fgColor rgb="FF4E342E"/>
        <bgColor rgb="FF424242"/>
      </patternFill>
    </fill>
    <fill>
      <patternFill patternType="solid">
        <fgColor rgb="FFFAFAFA"/>
        <bgColor rgb="FFF9F9F9"/>
      </patternFill>
    </fill>
    <fill>
      <patternFill patternType="solid">
        <fgColor rgb="001B5E20"/>
      </patternFill>
    </fill>
    <fill>
      <patternFill patternType="solid">
        <fgColor rgb="00E8F5E9"/>
      </patternFill>
    </fill>
    <fill>
      <patternFill patternType="solid">
        <fgColor rgb="002E7D32"/>
      </patternFill>
    </fill>
    <fill>
      <patternFill patternType="solid">
        <fgColor rgb="00F1F8E9"/>
      </patternFill>
    </fill>
    <fill>
      <patternFill patternType="solid">
        <fgColor rgb="00FFFFFF"/>
      </patternFill>
    </fill>
    <fill>
      <patternFill patternType="solid">
        <fgColor rgb="00FFFFE0"/>
      </patternFill>
    </fill>
    <fill>
      <patternFill patternType="solid">
        <fgColor rgb="001565C0"/>
      </patternFill>
    </fill>
    <fill>
      <patternFill patternType="solid">
        <fgColor rgb="006A1B9A"/>
      </patternFill>
    </fill>
  </fills>
  <borders count="15">
    <border>
      <left/>
      <right/>
      <top/>
      <bottom/>
      <diagonal/>
    </border>
    <border>
      <left style="thin">
        <color rgb="FFBDBDBD"/>
      </left>
      <right style="thin">
        <color rgb="FFBDBDBD"/>
      </right>
      <top style="thin">
        <color rgb="FFBDBDBD"/>
      </top>
      <bottom style="thin">
        <color rgb="FFBDBDBD"/>
      </bottom>
      <diagonal/>
    </border>
    <border>
      <left style="thin">
        <color rgb="FFBDBDBD"/>
      </left>
      <right/>
      <top style="thin">
        <color rgb="FFBDBDBD"/>
      </top>
      <bottom style="thin">
        <color rgb="FFBDBDBD"/>
      </bottom>
      <diagonal/>
    </border>
    <border>
      <left style="thin">
        <color rgb="FFBDBDBD"/>
      </left>
      <right/>
      <top style="thin">
        <color rgb="FFBDBDBD"/>
      </top>
      <bottom/>
      <diagonal/>
    </border>
    <border>
      <left/>
      <right/>
      <top style="thin">
        <color rgb="FFBDBDBD"/>
      </top>
      <bottom/>
      <diagonal/>
    </border>
    <border>
      <left/>
      <right style="thin">
        <color rgb="FFBDBDBD"/>
      </right>
      <top style="thin">
        <color rgb="FFBDBDBD"/>
      </top>
      <bottom/>
      <diagonal/>
    </border>
    <border>
      <left/>
      <right/>
      <top style="thin">
        <color rgb="FFBDBDBD"/>
      </top>
      <bottom style="thin">
        <color rgb="FFBDBDBD"/>
      </bottom>
      <diagonal/>
    </border>
    <border>
      <left/>
      <right style="thin">
        <color rgb="FFBDBDBD"/>
      </right>
      <top style="thin">
        <color rgb="FFBDBDBD"/>
      </top>
      <bottom style="thin">
        <color rgb="FFBDBDBD"/>
      </bottom>
      <diagonal/>
    </border>
    <border>
      <left style="thin">
        <color rgb="FFBDBDBD"/>
      </left>
      <right/>
      <top/>
      <bottom/>
      <diagonal/>
    </border>
    <border/>
    <border>
      <left style="thin">
        <color rgb="00BDBDBD"/>
      </left>
      <right style="thin">
        <color rgb="00BDBDBD"/>
      </right>
      <top style="thin">
        <color rgb="00BDBDBD"/>
      </top>
      <bottom style="thin">
        <color rgb="00BDBDBD"/>
      </bottom>
    </border>
    <border>
      <left/>
      <right/>
      <top style="thin">
        <color rgb="00BDBDBD"/>
      </top>
      <bottom/>
      <diagonal/>
    </border>
    <border>
      <left/>
      <right style="thin">
        <color rgb="00BDBDBD"/>
      </right>
      <top style="thin">
        <color rgb="00BDBDBD"/>
      </top>
      <bottom/>
      <diagonal/>
    </border>
    <border>
      <left/>
      <right/>
      <top style="thin">
        <color rgb="00BDBDBD"/>
      </top>
      <bottom style="thin">
        <color rgb="00BDBDBD"/>
      </bottom>
      <diagonal/>
    </border>
    <border>
      <left/>
      <right style="thin">
        <color rgb="00BDBDBD"/>
      </right>
      <top style="thin">
        <color rgb="00BDBDBD"/>
      </top>
      <bottom style="thin">
        <color rgb="00BDBDBD"/>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4" borderId="1" applyAlignment="1" pivotButton="0" quotePrefix="0" xfId="0">
      <alignment horizontal="center" vertical="center" wrapText="1"/>
    </xf>
    <xf numFmtId="164" fontId="7" fillId="5" borderId="1" applyAlignment="1" pivotButton="0" quotePrefix="0" xfId="0">
      <alignment horizontal="left" vertical="center" wrapText="1"/>
    </xf>
    <xf numFmtId="0" fontId="7" fillId="5" borderId="1" applyAlignment="1" pivotButton="0" quotePrefix="0" xfId="0">
      <alignment horizontal="left" vertical="center" wrapText="1"/>
    </xf>
    <xf numFmtId="165" fontId="8" fillId="5" borderId="1" applyAlignment="1" pivotButton="0" quotePrefix="0" xfId="0">
      <alignment horizontal="left" vertical="center" wrapText="1"/>
    </xf>
    <xf numFmtId="165" fontId="7" fillId="5" borderId="1" applyAlignment="1" pivotButton="0" quotePrefix="0" xfId="0">
      <alignment horizontal="left" vertical="center" wrapText="1"/>
    </xf>
    <xf numFmtId="166" fontId="7" fillId="5" borderId="1" applyAlignment="1" pivotButton="0" quotePrefix="0" xfId="0">
      <alignment horizontal="left" vertical="center" wrapText="1"/>
    </xf>
    <xf numFmtId="167" fontId="7" fillId="5" borderId="1" applyAlignment="1" pivotButton="0" quotePrefix="0" xfId="0">
      <alignment horizontal="left" vertical="center" wrapText="1"/>
    </xf>
    <xf numFmtId="164" fontId="7" fillId="6" borderId="1" applyAlignment="1" pivotButton="0" quotePrefix="0" xfId="0">
      <alignment horizontal="left" vertical="center" wrapText="1"/>
    </xf>
    <xf numFmtId="0" fontId="7" fillId="6" borderId="1" applyAlignment="1" pivotButton="0" quotePrefix="0" xfId="0">
      <alignment horizontal="left" vertical="center" wrapText="1"/>
    </xf>
    <xf numFmtId="165" fontId="8" fillId="6" borderId="1" applyAlignment="1" pivotButton="0" quotePrefix="0" xfId="0">
      <alignment horizontal="left" vertical="center" wrapText="1"/>
    </xf>
    <xf numFmtId="165" fontId="7" fillId="6" borderId="1" applyAlignment="1" pivotButton="0" quotePrefix="0" xfId="0">
      <alignment horizontal="left" vertical="center" wrapText="1"/>
    </xf>
    <xf numFmtId="166" fontId="7" fillId="6" borderId="1" applyAlignment="1" pivotButton="0" quotePrefix="0" xfId="0">
      <alignment horizontal="left" vertical="center" wrapText="1"/>
    </xf>
    <xf numFmtId="167" fontId="7" fillId="6" borderId="1" applyAlignment="1" pivotButton="0" quotePrefix="0" xfId="0">
      <alignment horizontal="left" vertical="center" wrapText="1"/>
    </xf>
    <xf numFmtId="0" fontId="9" fillId="4" borderId="1" applyAlignment="1" pivotButton="0" quotePrefix="0" xfId="0">
      <alignment horizontal="center" vertical="center" wrapText="1"/>
    </xf>
    <xf numFmtId="165" fontId="9" fillId="4" borderId="1" applyAlignment="1" pivotButton="0" quotePrefix="0" xfId="0">
      <alignment horizontal="center" vertical="center" wrapText="1"/>
    </xf>
    <xf numFmtId="166" fontId="9" fillId="4" borderId="1" applyAlignment="1" pivotButton="0" quotePrefix="0" xfId="0">
      <alignment horizontal="center" vertical="center" wrapText="1"/>
    </xf>
    <xf numFmtId="167" fontId="9" fillId="4" borderId="1" applyAlignment="1" pivotButton="0" quotePrefix="0" xfId="0">
      <alignment horizontal="center" vertical="center" wrapText="1"/>
    </xf>
    <xf numFmtId="0" fontId="0" fillId="4" borderId="1" applyAlignment="1" pivotButton="0" quotePrefix="0" xfId="0">
      <alignment horizontal="general" vertical="bottom"/>
    </xf>
    <xf numFmtId="0" fontId="10" fillId="2" borderId="0" applyAlignment="1" pivotButton="0" quotePrefix="0" xfId="0">
      <alignment horizontal="center" vertical="center" wrapText="1"/>
    </xf>
    <xf numFmtId="0" fontId="11" fillId="0" borderId="0" applyAlignment="1" pivotButton="0" quotePrefix="0" xfId="0">
      <alignment horizontal="general" vertical="bottom"/>
    </xf>
    <xf numFmtId="0" fontId="12" fillId="7" borderId="1" applyAlignment="1" pivotButton="0" quotePrefix="0" xfId="0">
      <alignment horizontal="general" vertical="bottom"/>
    </xf>
    <xf numFmtId="0" fontId="13" fillId="0" borderId="0" applyAlignment="1" pivotButton="0" quotePrefix="0" xfId="0">
      <alignment horizontal="general" vertical="bottom"/>
    </xf>
    <xf numFmtId="164" fontId="12" fillId="7" borderId="1" applyAlignment="1" pivotButton="0" quotePrefix="0" xfId="0">
      <alignment horizontal="general" vertical="bottom"/>
    </xf>
    <xf numFmtId="0" fontId="9" fillId="4" borderId="0" applyAlignment="1" pivotButton="0" quotePrefix="0" xfId="0">
      <alignment horizontal="center" vertical="center" wrapText="1"/>
    </xf>
    <xf numFmtId="0" fontId="7" fillId="5" borderId="1" applyAlignment="1" pivotButton="0" quotePrefix="0" xfId="0">
      <alignment horizontal="general" vertical="bottom"/>
    </xf>
    <xf numFmtId="165" fontId="0" fillId="5" borderId="1" applyAlignment="1" pivotButton="0" quotePrefix="0" xfId="0">
      <alignment horizontal="general" vertical="bottom"/>
    </xf>
    <xf numFmtId="168" fontId="0" fillId="5" borderId="1" applyAlignment="1" pivotButton="0" quotePrefix="0" xfId="0">
      <alignment horizontal="general" vertical="bottom"/>
    </xf>
    <xf numFmtId="165" fontId="7" fillId="5" borderId="1" applyAlignment="1" pivotButton="0" quotePrefix="0" xfId="0">
      <alignment horizontal="general" vertical="bottom"/>
    </xf>
    <xf numFmtId="168" fontId="7" fillId="5" borderId="1" applyAlignment="1" pivotButton="0" quotePrefix="0" xfId="0">
      <alignment horizontal="general" vertical="bottom"/>
    </xf>
    <xf numFmtId="0" fontId="0" fillId="5" borderId="1" applyAlignment="1" pivotButton="0" quotePrefix="0" xfId="0">
      <alignment horizontal="center" vertical="center" wrapText="1"/>
    </xf>
    <xf numFmtId="0" fontId="14" fillId="5" borderId="1" applyAlignment="1" pivotButton="0" quotePrefix="0" xfId="0">
      <alignment horizontal="general" vertical="bottom"/>
    </xf>
    <xf numFmtId="0" fontId="7" fillId="6" borderId="1" applyAlignment="1" pivotButton="0" quotePrefix="0" xfId="0">
      <alignment horizontal="general" vertical="bottom"/>
    </xf>
    <xf numFmtId="165" fontId="0" fillId="6" borderId="1" applyAlignment="1" pivotButton="0" quotePrefix="0" xfId="0">
      <alignment horizontal="general" vertical="bottom"/>
    </xf>
    <xf numFmtId="168" fontId="0" fillId="6" borderId="1" applyAlignment="1" pivotButton="0" quotePrefix="0" xfId="0">
      <alignment horizontal="general" vertical="bottom"/>
    </xf>
    <xf numFmtId="165" fontId="7" fillId="6" borderId="1" applyAlignment="1" pivotButton="0" quotePrefix="0" xfId="0">
      <alignment horizontal="general" vertical="bottom"/>
    </xf>
    <xf numFmtId="168" fontId="7" fillId="6" borderId="1" applyAlignment="1" pivotButton="0" quotePrefix="0" xfId="0">
      <alignment horizontal="general" vertical="bottom"/>
    </xf>
    <xf numFmtId="0" fontId="0" fillId="6" borderId="1" applyAlignment="1" pivotButton="0" quotePrefix="0" xfId="0">
      <alignment horizontal="center" vertical="center" wrapText="1"/>
    </xf>
    <xf numFmtId="0" fontId="14" fillId="6" borderId="1" applyAlignment="1" pivotButton="0" quotePrefix="0" xfId="0">
      <alignment horizontal="general" vertical="bottom"/>
    </xf>
    <xf numFmtId="165" fontId="6" fillId="4" borderId="1" applyAlignment="1" pivotButton="0" quotePrefix="0" xfId="0">
      <alignment horizontal="center" vertical="center" wrapText="1"/>
    </xf>
    <xf numFmtId="0" fontId="9" fillId="8" borderId="0" applyAlignment="1" pivotButton="0" quotePrefix="0" xfId="0">
      <alignment horizontal="center" vertical="center" wrapText="1"/>
    </xf>
    <xf numFmtId="0" fontId="9" fillId="9" borderId="0" applyAlignment="1" pivotButton="0" quotePrefix="0" xfId="0">
      <alignment horizontal="center" vertical="center" wrapText="1"/>
    </xf>
    <xf numFmtId="0" fontId="15" fillId="4" borderId="0" applyAlignment="1" pivotButton="0" quotePrefix="0" xfId="0">
      <alignment horizontal="center" vertical="center" wrapText="1"/>
    </xf>
    <xf numFmtId="0" fontId="16" fillId="4" borderId="0" applyAlignment="1" pivotButton="0" quotePrefix="0" xfId="0">
      <alignment horizontal="center" vertical="center" wrapText="1"/>
    </xf>
    <xf numFmtId="0" fontId="16" fillId="8" borderId="0" applyAlignment="1" pivotButton="0" quotePrefix="0" xfId="0">
      <alignment horizontal="center" vertical="center" wrapText="1"/>
    </xf>
    <xf numFmtId="0" fontId="16" fillId="10" borderId="0" applyAlignment="1" pivotButton="0" quotePrefix="0" xfId="0">
      <alignment horizontal="center" vertical="center" wrapText="1"/>
    </xf>
    <xf numFmtId="0" fontId="16" fillId="9" borderId="0" applyAlignment="1" pivotButton="0" quotePrefix="0" xfId="0">
      <alignment horizontal="center" vertical="center" wrapText="1"/>
    </xf>
    <xf numFmtId="0" fontId="16" fillId="11" borderId="0" applyAlignment="1" pivotButton="0" quotePrefix="0" xfId="0">
      <alignment horizontal="center" vertical="center" wrapText="1"/>
    </xf>
    <xf numFmtId="0" fontId="16" fillId="12" borderId="0" applyAlignment="1" pivotButton="0" quotePrefix="0" xfId="0">
      <alignment horizontal="center" vertical="center" wrapText="1"/>
    </xf>
    <xf numFmtId="165" fontId="4" fillId="4" borderId="0" applyAlignment="1" pivotButton="0" quotePrefix="0" xfId="0">
      <alignment horizontal="center" vertical="center" wrapText="1"/>
    </xf>
    <xf numFmtId="165" fontId="4" fillId="8" borderId="0" applyAlignment="1" pivotButton="0" quotePrefix="0" xfId="0">
      <alignment horizontal="center" vertical="center" wrapText="1"/>
    </xf>
    <xf numFmtId="168" fontId="4" fillId="10" borderId="0" applyAlignment="1" pivotButton="0" quotePrefix="0" xfId="0">
      <alignment horizontal="center" vertical="center" wrapText="1"/>
    </xf>
    <xf numFmtId="165" fontId="4" fillId="9" borderId="0" applyAlignment="1" pivotButton="0" quotePrefix="0" xfId="0">
      <alignment horizontal="center" vertical="center" wrapText="1"/>
    </xf>
    <xf numFmtId="1" fontId="4" fillId="11" borderId="0" applyAlignment="1" pivotButton="0" quotePrefix="0" xfId="0">
      <alignment horizontal="center" vertical="center" wrapText="1"/>
    </xf>
    <xf numFmtId="49" fontId="4" fillId="12" borderId="0" applyAlignment="1" pivotButton="0" quotePrefix="0" xfId="0">
      <alignment horizontal="center" vertical="center" wrapText="1"/>
    </xf>
    <xf numFmtId="0" fontId="11" fillId="6" borderId="1" applyAlignment="1" pivotButton="0" quotePrefix="0" xfId="0">
      <alignment horizontal="center" vertical="center" wrapText="1"/>
    </xf>
    <xf numFmtId="0" fontId="11" fillId="5" borderId="1" applyAlignment="1" pivotButton="0" quotePrefix="0" xfId="0">
      <alignment horizontal="center" vertical="center" wrapText="1"/>
    </xf>
    <xf numFmtId="0" fontId="6" fillId="4" borderId="0" applyAlignment="1" pivotButton="0" quotePrefix="0" xfId="0">
      <alignment horizontal="center" vertical="center" wrapText="1"/>
    </xf>
    <xf numFmtId="0" fontId="7" fillId="0" borderId="1" applyAlignment="1" pivotButton="0" quotePrefix="0" xfId="0">
      <alignment horizontal="general" vertical="bottom"/>
    </xf>
    <xf numFmtId="3" fontId="12" fillId="7" borderId="1" applyAlignment="1" pivotButton="0" quotePrefix="0" xfId="0">
      <alignment horizontal="general" vertical="bottom"/>
    </xf>
    <xf numFmtId="0" fontId="9" fillId="2" borderId="0" applyAlignment="1" pivotButton="0" quotePrefix="0" xfId="0">
      <alignment horizontal="center" vertical="center" wrapText="1"/>
    </xf>
    <xf numFmtId="0" fontId="20" fillId="0" borderId="0" applyAlignment="1" pivotButton="0" quotePrefix="0" xfId="0">
      <alignment horizontal="left" vertical="center" wrapText="1"/>
    </xf>
    <xf numFmtId="165" fontId="21" fillId="7" borderId="1" applyAlignment="1" pivotButton="0" quotePrefix="0" xfId="0">
      <alignment horizontal="general" vertical="bottom"/>
    </xf>
    <xf numFmtId="0" fontId="22" fillId="0" borderId="0" applyAlignment="1" pivotButton="0" quotePrefix="0" xfId="0">
      <alignment horizontal="general" vertical="bottom"/>
    </xf>
    <xf numFmtId="165" fontId="8" fillId="6" borderId="1" applyAlignment="1" pivotButton="0" quotePrefix="0" xfId="0">
      <alignment horizontal="general" vertical="bottom"/>
    </xf>
    <xf numFmtId="165" fontId="8" fillId="5" borderId="1" applyAlignment="1" pivotButton="0" quotePrefix="0" xfId="0">
      <alignment horizontal="general" vertical="bottom"/>
    </xf>
    <xf numFmtId="168" fontId="6" fillId="4" borderId="1" applyAlignment="1" pivotButton="0" quotePrefix="0" xfId="0">
      <alignment horizontal="center" vertical="center" wrapText="1"/>
    </xf>
    <xf numFmtId="0" fontId="23" fillId="0" borderId="0" applyAlignment="1" pivotButton="0" quotePrefix="0" xfId="0">
      <alignment horizontal="general" vertical="bottom"/>
    </xf>
    <xf numFmtId="0" fontId="24" fillId="2" borderId="0" applyAlignment="1" pivotButton="0" quotePrefix="0" xfId="0">
      <alignment horizontal="center" vertical="center" wrapText="1"/>
    </xf>
    <xf numFmtId="0" fontId="25" fillId="0" borderId="0" applyAlignment="1" pivotButton="0" quotePrefix="0" xfId="0">
      <alignment horizontal="left" vertical="center" wrapText="1"/>
    </xf>
    <xf numFmtId="0" fontId="9" fillId="4" borderId="2" applyAlignment="1" pivotButton="0" quotePrefix="0" xfId="0">
      <alignment horizontal="left" vertical="center" wrapText="1"/>
    </xf>
    <xf numFmtId="0" fontId="7" fillId="13" borderId="3"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4" borderId="1" applyAlignment="1" pivotButton="0" quotePrefix="0" xfId="0">
      <alignment horizontal="center" vertical="center" wrapText="1"/>
    </xf>
    <xf numFmtId="164" fontId="7" fillId="5" borderId="1" applyAlignment="1" pivotButton="0" quotePrefix="0" xfId="0">
      <alignment horizontal="left" vertical="center" wrapText="1"/>
    </xf>
    <xf numFmtId="0" fontId="7" fillId="5" borderId="1" applyAlignment="1" pivotButton="0" quotePrefix="0" xfId="0">
      <alignment horizontal="left" vertical="center" wrapText="1"/>
    </xf>
    <xf numFmtId="165" fontId="8" fillId="5" borderId="1" applyAlignment="1" pivotButton="0" quotePrefix="0" xfId="0">
      <alignment horizontal="left" vertical="center" wrapText="1"/>
    </xf>
    <xf numFmtId="165" fontId="7" fillId="5" borderId="1" applyAlignment="1" pivotButton="0" quotePrefix="0" xfId="0">
      <alignment horizontal="left" vertical="center" wrapText="1"/>
    </xf>
    <xf numFmtId="166" fontId="7" fillId="5" borderId="1" applyAlignment="1" pivotButton="0" quotePrefix="0" xfId="0">
      <alignment horizontal="left" vertical="center" wrapText="1"/>
    </xf>
    <xf numFmtId="167" fontId="7" fillId="5" borderId="1" applyAlignment="1" pivotButton="0" quotePrefix="0" xfId="0">
      <alignment horizontal="left" vertical="center" wrapText="1"/>
    </xf>
    <xf numFmtId="164" fontId="7" fillId="6" borderId="1" applyAlignment="1" pivotButton="0" quotePrefix="0" xfId="0">
      <alignment horizontal="left" vertical="center" wrapText="1"/>
    </xf>
    <xf numFmtId="0" fontId="7" fillId="6" borderId="1" applyAlignment="1" pivotButton="0" quotePrefix="0" xfId="0">
      <alignment horizontal="left" vertical="center" wrapText="1"/>
    </xf>
    <xf numFmtId="165" fontId="8" fillId="6" borderId="1" applyAlignment="1" pivotButton="0" quotePrefix="0" xfId="0">
      <alignment horizontal="left" vertical="center" wrapText="1"/>
    </xf>
    <xf numFmtId="165" fontId="7" fillId="6" borderId="1" applyAlignment="1" pivotButton="0" quotePrefix="0" xfId="0">
      <alignment horizontal="left" vertical="center" wrapText="1"/>
    </xf>
    <xf numFmtId="166" fontId="7" fillId="6" borderId="1" applyAlignment="1" pivotButton="0" quotePrefix="0" xfId="0">
      <alignment horizontal="left" vertical="center" wrapText="1"/>
    </xf>
    <xf numFmtId="167" fontId="7" fillId="6" borderId="1" applyAlignment="1" pivotButton="0" quotePrefix="0" xfId="0">
      <alignment horizontal="left" vertical="center" wrapText="1"/>
    </xf>
    <xf numFmtId="0" fontId="9" fillId="4" borderId="1" applyAlignment="1" pivotButton="0" quotePrefix="0" xfId="0">
      <alignment horizontal="center" vertical="center" wrapText="1"/>
    </xf>
    <xf numFmtId="0" fontId="0" fillId="0" borderId="6" pivotButton="0" quotePrefix="0" xfId="0"/>
    <xf numFmtId="0" fontId="0" fillId="0" borderId="7" pivotButton="0" quotePrefix="0" xfId="0"/>
    <xf numFmtId="165" fontId="9" fillId="4" borderId="1" applyAlignment="1" pivotButton="0" quotePrefix="0" xfId="0">
      <alignment horizontal="center" vertical="center" wrapText="1"/>
    </xf>
    <xf numFmtId="166" fontId="9" fillId="4" borderId="1" applyAlignment="1" pivotButton="0" quotePrefix="0" xfId="0">
      <alignment horizontal="center" vertical="center" wrapText="1"/>
    </xf>
    <xf numFmtId="167" fontId="9" fillId="4" borderId="1" applyAlignment="1" pivotButton="0" quotePrefix="0" xfId="0">
      <alignment horizontal="center" vertical="center" wrapText="1"/>
    </xf>
    <xf numFmtId="0" fontId="0" fillId="4" borderId="1" applyAlignment="1" pivotButton="0" quotePrefix="0" xfId="0">
      <alignment horizontal="general" vertical="bottom"/>
    </xf>
    <xf numFmtId="0" fontId="10" fillId="2" borderId="0" applyAlignment="1" pivotButton="0" quotePrefix="0" xfId="0">
      <alignment horizontal="center" vertical="center" wrapText="1"/>
    </xf>
    <xf numFmtId="0" fontId="11" fillId="0" borderId="0" applyAlignment="1" pivotButton="0" quotePrefix="0" xfId="0">
      <alignment horizontal="general" vertical="bottom"/>
    </xf>
    <xf numFmtId="0" fontId="12" fillId="7" borderId="1" applyAlignment="1" pivotButton="0" quotePrefix="0" xfId="0">
      <alignment horizontal="general" vertical="bottom"/>
    </xf>
    <xf numFmtId="0" fontId="13" fillId="0" borderId="0" applyAlignment="1" pivotButton="0" quotePrefix="0" xfId="0">
      <alignment horizontal="general" vertical="bottom"/>
    </xf>
    <xf numFmtId="164" fontId="12" fillId="7" borderId="1" applyAlignment="1" pivotButton="0" quotePrefix="0" xfId="0">
      <alignment horizontal="general" vertical="bottom"/>
    </xf>
    <xf numFmtId="0" fontId="9" fillId="4" borderId="0" applyAlignment="1" pivotButton="0" quotePrefix="0" xfId="0">
      <alignment horizontal="center" vertical="center" wrapText="1"/>
    </xf>
    <xf numFmtId="0" fontId="7" fillId="5" borderId="1" applyAlignment="1" pivotButton="0" quotePrefix="0" xfId="0">
      <alignment horizontal="general" vertical="bottom"/>
    </xf>
    <xf numFmtId="165" fontId="0" fillId="5" borderId="1" applyAlignment="1" pivotButton="0" quotePrefix="0" xfId="0">
      <alignment horizontal="general" vertical="bottom"/>
    </xf>
    <xf numFmtId="168" fontId="0" fillId="5" borderId="1" applyAlignment="1" pivotButton="0" quotePrefix="0" xfId="0">
      <alignment horizontal="general" vertical="bottom"/>
    </xf>
    <xf numFmtId="165" fontId="7" fillId="5" borderId="1" applyAlignment="1" pivotButton="0" quotePrefix="0" xfId="0">
      <alignment horizontal="general" vertical="bottom"/>
    </xf>
    <xf numFmtId="168" fontId="7" fillId="5" borderId="1" applyAlignment="1" pivotButton="0" quotePrefix="0" xfId="0">
      <alignment horizontal="general" vertical="bottom"/>
    </xf>
    <xf numFmtId="0" fontId="0" fillId="5" borderId="1" applyAlignment="1" pivotButton="0" quotePrefix="0" xfId="0">
      <alignment horizontal="center" vertical="center" wrapText="1"/>
    </xf>
    <xf numFmtId="0" fontId="14" fillId="5" borderId="1" applyAlignment="1" pivotButton="0" quotePrefix="0" xfId="0">
      <alignment horizontal="general" vertical="bottom"/>
    </xf>
    <xf numFmtId="0" fontId="7" fillId="6" borderId="1" applyAlignment="1" pivotButton="0" quotePrefix="0" xfId="0">
      <alignment horizontal="general" vertical="bottom"/>
    </xf>
    <xf numFmtId="165" fontId="0" fillId="6" borderId="1" applyAlignment="1" pivotButton="0" quotePrefix="0" xfId="0">
      <alignment horizontal="general" vertical="bottom"/>
    </xf>
    <xf numFmtId="168" fontId="0" fillId="6" borderId="1" applyAlignment="1" pivotButton="0" quotePrefix="0" xfId="0">
      <alignment horizontal="general" vertical="bottom"/>
    </xf>
    <xf numFmtId="165" fontId="7" fillId="6" borderId="1" applyAlignment="1" pivotButton="0" quotePrefix="0" xfId="0">
      <alignment horizontal="general" vertical="bottom"/>
    </xf>
    <xf numFmtId="168" fontId="7" fillId="6" borderId="1" applyAlignment="1" pivotButton="0" quotePrefix="0" xfId="0">
      <alignment horizontal="general" vertical="bottom"/>
    </xf>
    <xf numFmtId="0" fontId="0" fillId="6" borderId="1" applyAlignment="1" pivotButton="0" quotePrefix="0" xfId="0">
      <alignment horizontal="center" vertical="center" wrapText="1"/>
    </xf>
    <xf numFmtId="0" fontId="14" fillId="6" borderId="1" applyAlignment="1" pivotButton="0" quotePrefix="0" xfId="0">
      <alignment horizontal="general" vertical="bottom"/>
    </xf>
    <xf numFmtId="165" fontId="6" fillId="4" borderId="1" applyAlignment="1" pivotButton="0" quotePrefix="0" xfId="0">
      <alignment horizontal="center" vertical="center" wrapText="1"/>
    </xf>
    <xf numFmtId="0" fontId="9" fillId="8" borderId="0" applyAlignment="1" pivotButton="0" quotePrefix="0" xfId="0">
      <alignment horizontal="center" vertical="center" wrapText="1"/>
    </xf>
    <xf numFmtId="0" fontId="9" fillId="9" borderId="0" applyAlignment="1" pivotButton="0" quotePrefix="0" xfId="0">
      <alignment horizontal="center" vertical="center" wrapText="1"/>
    </xf>
    <xf numFmtId="0" fontId="15" fillId="4" borderId="0" applyAlignment="1" pivotButton="0" quotePrefix="0" xfId="0">
      <alignment horizontal="center" vertical="center" wrapText="1"/>
    </xf>
    <xf numFmtId="0" fontId="16" fillId="4" borderId="0" applyAlignment="1" pivotButton="0" quotePrefix="0" xfId="0">
      <alignment horizontal="center" vertical="center" wrapText="1"/>
    </xf>
    <xf numFmtId="0" fontId="16" fillId="8" borderId="0" applyAlignment="1" pivotButton="0" quotePrefix="0" xfId="0">
      <alignment horizontal="center" vertical="center" wrapText="1"/>
    </xf>
    <xf numFmtId="0" fontId="16" fillId="10" borderId="0" applyAlignment="1" pivotButton="0" quotePrefix="0" xfId="0">
      <alignment horizontal="center" vertical="center" wrapText="1"/>
    </xf>
    <xf numFmtId="0" fontId="16" fillId="9" borderId="0" applyAlignment="1" pivotButton="0" quotePrefix="0" xfId="0">
      <alignment horizontal="center" vertical="center" wrapText="1"/>
    </xf>
    <xf numFmtId="0" fontId="16" fillId="11" borderId="0" applyAlignment="1" pivotButton="0" quotePrefix="0" xfId="0">
      <alignment horizontal="center" vertical="center" wrapText="1"/>
    </xf>
    <xf numFmtId="0" fontId="16" fillId="12" borderId="0" applyAlignment="1" pivotButton="0" quotePrefix="0" xfId="0">
      <alignment horizontal="center" vertical="center" wrapText="1"/>
    </xf>
    <xf numFmtId="165" fontId="4" fillId="4" borderId="0" applyAlignment="1" pivotButton="0" quotePrefix="0" xfId="0">
      <alignment horizontal="center" vertical="center" wrapText="1"/>
    </xf>
    <xf numFmtId="165" fontId="4" fillId="8" borderId="0" applyAlignment="1" pivotButton="0" quotePrefix="0" xfId="0">
      <alignment horizontal="center" vertical="center" wrapText="1"/>
    </xf>
    <xf numFmtId="168" fontId="4" fillId="10" borderId="0" applyAlignment="1" pivotButton="0" quotePrefix="0" xfId="0">
      <alignment horizontal="center" vertical="center" wrapText="1"/>
    </xf>
    <xf numFmtId="165" fontId="4" fillId="9" borderId="0" applyAlignment="1" pivotButton="0" quotePrefix="0" xfId="0">
      <alignment horizontal="center" vertical="center" wrapText="1"/>
    </xf>
    <xf numFmtId="1" fontId="4" fillId="11" borderId="0" applyAlignment="1" pivotButton="0" quotePrefix="0" xfId="0">
      <alignment horizontal="center" vertical="center" wrapText="1"/>
    </xf>
    <xf numFmtId="49" fontId="4" fillId="12" borderId="0" applyAlignment="1" pivotButton="0" quotePrefix="0" xfId="0">
      <alignment horizontal="center" vertical="center" wrapText="1"/>
    </xf>
    <xf numFmtId="0" fontId="11" fillId="6" borderId="1" applyAlignment="1" pivotButton="0" quotePrefix="0" xfId="0">
      <alignment horizontal="center" vertical="center" wrapText="1"/>
    </xf>
    <xf numFmtId="0" fontId="11" fillId="5" borderId="1" applyAlignment="1" pivotButton="0" quotePrefix="0" xfId="0">
      <alignment horizontal="center" vertical="center" wrapText="1"/>
    </xf>
    <xf numFmtId="0" fontId="6" fillId="4" borderId="0" applyAlignment="1" pivotButton="0" quotePrefix="0" xfId="0">
      <alignment horizontal="center" vertical="center" wrapText="1"/>
    </xf>
    <xf numFmtId="0" fontId="7" fillId="0" borderId="1" applyAlignment="1" pivotButton="0" quotePrefix="0" xfId="0">
      <alignment horizontal="general" vertical="bottom"/>
    </xf>
    <xf numFmtId="3" fontId="12" fillId="7" borderId="1" applyAlignment="1" pivotButton="0" quotePrefix="0" xfId="0">
      <alignment horizontal="general" vertical="bottom"/>
    </xf>
    <xf numFmtId="0" fontId="9" fillId="2" borderId="0" applyAlignment="1" pivotButton="0" quotePrefix="0" xfId="0">
      <alignment horizontal="center" vertical="center" wrapText="1"/>
    </xf>
    <xf numFmtId="0" fontId="20" fillId="0" borderId="0" applyAlignment="1" pivotButton="0" quotePrefix="0" xfId="0">
      <alignment horizontal="left" vertical="center" wrapText="1"/>
    </xf>
    <xf numFmtId="165" fontId="21" fillId="7" borderId="1" applyAlignment="1" pivotButton="0" quotePrefix="0" xfId="0">
      <alignment horizontal="general" vertical="bottom"/>
    </xf>
    <xf numFmtId="0" fontId="22" fillId="0" borderId="0" applyAlignment="1" pivotButton="0" quotePrefix="0" xfId="0">
      <alignment horizontal="general" vertical="bottom"/>
    </xf>
    <xf numFmtId="165" fontId="8" fillId="6" borderId="1" applyAlignment="1" pivotButton="0" quotePrefix="0" xfId="0">
      <alignment horizontal="general" vertical="bottom"/>
    </xf>
    <xf numFmtId="165" fontId="8" fillId="5" borderId="1" applyAlignment="1" pivotButton="0" quotePrefix="0" xfId="0">
      <alignment horizontal="general" vertical="bottom"/>
    </xf>
    <xf numFmtId="168" fontId="6" fillId="4" borderId="1" applyAlignment="1" pivotButton="0" quotePrefix="0" xfId="0">
      <alignment horizontal="center" vertical="center" wrapText="1"/>
    </xf>
    <xf numFmtId="0" fontId="23" fillId="0" borderId="0" applyAlignment="1" pivotButton="0" quotePrefix="0" xfId="0">
      <alignment horizontal="general" vertical="bottom"/>
    </xf>
    <xf numFmtId="0" fontId="24" fillId="2" borderId="0" applyAlignment="1" pivotButton="0" quotePrefix="0" xfId="0">
      <alignment horizontal="center" vertical="center" wrapText="1"/>
    </xf>
    <xf numFmtId="0" fontId="25" fillId="0" borderId="0" applyAlignment="1" pivotButton="0" quotePrefix="0" xfId="0">
      <alignment horizontal="left" vertical="center" wrapText="1"/>
    </xf>
    <xf numFmtId="0" fontId="9" fillId="4" borderId="2" applyAlignment="1" pivotButton="0" quotePrefix="0" xfId="0">
      <alignment horizontal="left" vertical="center" wrapText="1"/>
    </xf>
    <xf numFmtId="0" fontId="7" fillId="13" borderId="3" applyAlignment="1" pivotButton="0" quotePrefix="0" xfId="0">
      <alignment horizontal="left" vertical="top" wrapText="1"/>
    </xf>
    <xf numFmtId="0" fontId="0" fillId="0" borderId="4" pivotButton="0" quotePrefix="0" xfId="0"/>
    <xf numFmtId="0" fontId="0" fillId="0" borderId="8" pivotButton="0" quotePrefix="0" xfId="0"/>
    <xf numFmtId="0" fontId="27" fillId="14" borderId="9" applyAlignment="1" pivotButton="0" quotePrefix="0" xfId="0">
      <alignment horizontal="center" vertical="center" wrapText="1"/>
    </xf>
    <xf numFmtId="0" fontId="26" fillId="0" borderId="9" pivotButton="0" quotePrefix="0" xfId="0"/>
    <xf numFmtId="0" fontId="28" fillId="15" borderId="9" applyAlignment="1" pivotButton="0" quotePrefix="0" xfId="0">
      <alignment horizontal="center" vertical="center" wrapText="1"/>
    </xf>
    <xf numFmtId="0" fontId="29" fillId="16" borderId="10" applyAlignment="1" pivotButton="0" quotePrefix="0" xfId="0">
      <alignment horizontal="center" vertical="center" wrapText="1"/>
    </xf>
    <xf numFmtId="169" fontId="26" fillId="17" borderId="10" applyAlignment="1" pivotButton="0" quotePrefix="0" xfId="0">
      <alignment horizontal="left" vertical="center" wrapText="1"/>
    </xf>
    <xf numFmtId="0" fontId="26" fillId="17" borderId="10" applyAlignment="1" pivotButton="0" quotePrefix="0" xfId="0">
      <alignment horizontal="left" vertical="center" wrapText="1"/>
    </xf>
    <xf numFmtId="170" fontId="30" fillId="17" borderId="10" applyAlignment="1" pivotButton="0" quotePrefix="0" xfId="0">
      <alignment horizontal="left" vertical="center" wrapText="1"/>
    </xf>
    <xf numFmtId="169" fontId="26" fillId="18" borderId="10" applyAlignment="1" pivotButton="0" quotePrefix="0" xfId="0">
      <alignment horizontal="left" vertical="center" wrapText="1"/>
    </xf>
    <xf numFmtId="0" fontId="26" fillId="18" borderId="10" applyAlignment="1" pivotButton="0" quotePrefix="0" xfId="0">
      <alignment horizontal="left" vertical="center" wrapText="1"/>
    </xf>
    <xf numFmtId="170" fontId="30" fillId="18" borderId="10" applyAlignment="1" pivotButton="0" quotePrefix="0" xfId="0">
      <alignment horizontal="left" vertical="center" wrapText="1"/>
    </xf>
    <xf numFmtId="0" fontId="31" fillId="16" borderId="10" applyAlignment="1" pivotButton="0" quotePrefix="0" xfId="0">
      <alignment horizontal="center" vertical="center" wrapText="1"/>
    </xf>
    <xf numFmtId="170" fontId="31" fillId="16" borderId="10" applyAlignment="1" pivotButton="0" quotePrefix="0" xfId="0">
      <alignment horizontal="center" vertical="center" wrapText="1"/>
    </xf>
    <xf numFmtId="0" fontId="26" fillId="16" borderId="10" pivotButton="0" quotePrefix="0" xfId="0"/>
    <xf numFmtId="0" fontId="32" fillId="14" borderId="9" applyAlignment="1" pivotButton="0" quotePrefix="0" xfId="0">
      <alignment horizontal="center" vertical="center" wrapText="1"/>
    </xf>
    <xf numFmtId="0" fontId="33" fillId="0" borderId="9" applyAlignment="1" pivotButton="0" quotePrefix="0" xfId="0">
      <alignment horizontal="left" vertical="center"/>
    </xf>
    <xf numFmtId="170" fontId="34" fillId="19" borderId="10" pivotButton="0" quotePrefix="0" xfId="0"/>
    <xf numFmtId="0" fontId="35" fillId="0" borderId="9" pivotButton="0" quotePrefix="0" xfId="0"/>
    <xf numFmtId="0" fontId="26" fillId="17" borderId="10" pivotButton="0" quotePrefix="0" xfId="0"/>
    <xf numFmtId="170" fontId="30" fillId="17" borderId="10" pivotButton="0" quotePrefix="0" xfId="0"/>
    <xf numFmtId="170" fontId="26" fillId="17" borderId="10" pivotButton="0" quotePrefix="0" xfId="0"/>
    <xf numFmtId="171" fontId="26" fillId="17" borderId="10" pivotButton="0" quotePrefix="0" xfId="0"/>
    <xf numFmtId="0" fontId="26" fillId="17" borderId="10" applyAlignment="1" pivotButton="0" quotePrefix="0" xfId="0">
      <alignment horizontal="center" vertical="center" wrapText="1"/>
    </xf>
    <xf numFmtId="0" fontId="26" fillId="18" borderId="10" pivotButton="0" quotePrefix="0" xfId="0"/>
    <xf numFmtId="170" fontId="30" fillId="18" borderId="10" pivotButton="0" quotePrefix="0" xfId="0"/>
    <xf numFmtId="170" fontId="26" fillId="18" borderId="10" pivotButton="0" quotePrefix="0" xfId="0"/>
    <xf numFmtId="171" fontId="26" fillId="18" borderId="10" pivotButton="0" quotePrefix="0" xfId="0"/>
    <xf numFmtId="0" fontId="26" fillId="18" borderId="10" applyAlignment="1" pivotButton="0" quotePrefix="0" xfId="0">
      <alignment horizontal="center" vertical="center" wrapText="1"/>
    </xf>
    <xf numFmtId="170" fontId="29" fillId="16" borderId="10" applyAlignment="1" pivotButton="0" quotePrefix="0" xfId="0">
      <alignment horizontal="center" vertical="center" wrapText="1"/>
    </xf>
    <xf numFmtId="171" fontId="29" fillId="16" borderId="10" applyAlignment="1" pivotButton="0" quotePrefix="0" xfId="0">
      <alignment horizontal="center" vertical="center" wrapText="1"/>
    </xf>
    <xf numFmtId="0" fontId="0" fillId="0" borderId="13" pivotButton="0" quotePrefix="0" xfId="0"/>
    <xf numFmtId="0" fontId="0" fillId="0" borderId="14" pivotButton="0" quotePrefix="0" xfId="0"/>
    <xf numFmtId="0" fontId="32" fillId="14" borderId="0" applyAlignment="1" pivotButton="0" quotePrefix="0" xfId="0">
      <alignment horizontal="center" vertical="center" wrapText="1"/>
    </xf>
    <xf numFmtId="0" fontId="36" fillId="0" borderId="0" pivotButton="0" quotePrefix="0" xfId="0"/>
    <xf numFmtId="0" fontId="37" fillId="19" borderId="10" pivotButton="0" quotePrefix="0" xfId="0"/>
    <xf numFmtId="0" fontId="38" fillId="0" borderId="0" pivotButton="0" quotePrefix="0" xfId="0"/>
    <xf numFmtId="0" fontId="26" fillId="0" borderId="0" pivotButton="0" quotePrefix="0" xfId="0"/>
    <xf numFmtId="169" fontId="39" fillId="19" borderId="10" pivotButton="0" quotePrefix="0" xfId="0"/>
    <xf numFmtId="0" fontId="31" fillId="16" borderId="0" applyAlignment="1" pivotButton="0" quotePrefix="0" xfId="0">
      <alignment horizontal="center" vertical="center" wrapText="1"/>
    </xf>
    <xf numFmtId="171" fontId="0" fillId="17" borderId="10" pivotButton="0" quotePrefix="0" xfId="0"/>
    <xf numFmtId="0" fontId="0" fillId="17" borderId="10" applyAlignment="1" pivotButton="0" quotePrefix="0" xfId="0">
      <alignment horizontal="center" vertical="center" wrapText="1"/>
    </xf>
    <xf numFmtId="0" fontId="40" fillId="17" borderId="10" pivotButton="0" quotePrefix="0" xfId="0"/>
    <xf numFmtId="171" fontId="0" fillId="18" borderId="10" pivotButton="0" quotePrefix="0" xfId="0"/>
    <xf numFmtId="0" fontId="0" fillId="18" borderId="10" applyAlignment="1" pivotButton="0" quotePrefix="0" xfId="0">
      <alignment horizontal="center" vertical="center" wrapText="1"/>
    </xf>
    <xf numFmtId="0" fontId="40" fillId="18" borderId="10" pivotButton="0" quotePrefix="0" xfId="0"/>
    <xf numFmtId="0" fontId="31" fillId="20" borderId="0" applyAlignment="1" pivotButton="0" quotePrefix="0" xfId="0">
      <alignment horizontal="center" vertical="center" wrapText="1"/>
    </xf>
    <xf numFmtId="0" fontId="31" fillId="21" borderId="0" applyAlignment="1" pivotButton="0" quotePrefix="0" xfId="0">
      <alignment horizontal="center" vertical="center" wrapText="1"/>
    </xf>
    <xf numFmtId="0" fontId="36" fillId="0" borderId="9" pivotButton="0" quotePrefix="0" xfId="0"/>
    <xf numFmtId="0" fontId="41" fillId="19" borderId="10" pivotButton="0" quotePrefix="0" xfId="0"/>
    <xf numFmtId="0" fontId="38" fillId="0" borderId="9" pivotButton="0" quotePrefix="0" xfId="0"/>
    <xf numFmtId="169" fontId="26" fillId="19" borderId="10" pivotButton="0" quotePrefix="0" xfId="0"/>
    <xf numFmtId="0" fontId="31" fillId="16" borderId="9" applyAlignment="1" pivotButton="0" quotePrefix="0" xfId="0">
      <alignment horizontal="center" vertical="center" wrapText="1"/>
    </xf>
    <xf numFmtId="0" fontId="31" fillId="20" borderId="9" applyAlignment="1" pivotButton="0" quotePrefix="0" xfId="0">
      <alignment horizontal="center" vertical="center" wrapText="1"/>
    </xf>
    <xf numFmtId="0" fontId="31" fillId="21" borderId="9" applyAlignment="1" pivotButton="0" quotePrefix="0" xfId="0">
      <alignment horizontal="center" vertical="center" wrapText="1"/>
    </xf>
    <xf numFmtId="169" fontId="42" fillId="19" borderId="10" pivotButton="0" quotePrefix="0" xfId="0"/>
    <xf numFmtId="0" fontId="29" fillId="16" borderId="10" applyAlignment="1" pivotButton="0" quotePrefix="0" xfId="0">
      <alignment horizontal="center" vertical="center"/>
    </xf>
    <xf numFmtId="170" fontId="29" fillId="16" borderId="10" applyAlignment="1" pivotButton="0" quotePrefix="0" xfId="0">
      <alignment horizontal="center" vertical="center"/>
    </xf>
    <xf numFmtId="171" fontId="29" fillId="16" borderId="10" applyAlignment="1" pivotButton="0" quotePrefix="0" xfId="0">
      <alignment horizontal="center" vertical="center"/>
    </xf>
    <xf numFmtId="0" fontId="26" fillId="0" borderId="9" applyAlignment="1" pivotButton="0" quotePrefix="0" xfId="0">
      <alignment horizontal="center" vertical="center" wrapText="1"/>
    </xf>
    <xf numFmtId="170" fontId="26" fillId="0" borderId="9" applyAlignment="1" pivotButton="0" quotePrefix="0" xfId="0">
      <alignment horizontal="center" vertical="center" wrapText="1"/>
    </xf>
    <xf numFmtId="171" fontId="26" fillId="0" borderId="9"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2E7D32"/>
      <rgbColor rgb="FF000080"/>
      <rgbColor rgb="FF8AA64F"/>
      <rgbColor rgb="FF6A1B9A"/>
      <rgbColor rgb="FF00695C"/>
      <rgbColor rgb="FFBDBDBD"/>
      <rgbColor rgb="FF878787"/>
      <rgbColor rgb="FF93A9CE"/>
      <rgbColor rgb="FFAB4744"/>
      <rgbColor rgb="FFFFFFE0"/>
      <rgbColor rgb="FFE8F5E9"/>
      <rgbColor rgb="FF660066"/>
      <rgbColor rgb="FFDC853E"/>
      <rgbColor rgb="FF1565C0"/>
      <rgbColor rgb="FFD9D9D9"/>
      <rgbColor rgb="FF000080"/>
      <rgbColor rgb="FFFF00FF"/>
      <rgbColor rgb="FFFFFF00"/>
      <rgbColor rgb="FF00FFFF"/>
      <rgbColor rgb="FF800080"/>
      <rgbColor rgb="FF800000"/>
      <rgbColor rgb="FF4F81BD"/>
      <rgbColor rgb="FF0000FF"/>
      <rgbColor rgb="FF00CCFF"/>
      <rgbColor rgb="FFF1F8E9"/>
      <rgbColor rgb="FFF9F9F9"/>
      <rgbColor rgb="FFFAFAFA"/>
      <rgbColor rgb="FF99CCFF"/>
      <rgbColor rgb="FFD09493"/>
      <rgbColor rgb="FFCC99FF"/>
      <rgbColor rgb="FFFFCC99"/>
      <rgbColor rgb="FF4672A8"/>
      <rgbColor rgb="FF33CCCC"/>
      <rgbColor rgb="FF99CC00"/>
      <rgbColor rgb="FFFFCC00"/>
      <rgbColor rgb="FFF9A825"/>
      <rgbColor rgb="FFE65100"/>
      <rgbColor rgb="FF725990"/>
      <rgbColor rgb="FF9E9E9E"/>
      <rgbColor rgb="FF003366"/>
      <rgbColor rgb="FF4299B0"/>
      <rgbColor rgb="FF1B5E20"/>
      <rgbColor rgb="FF424242"/>
      <rgbColor rgb="FFB71C1C"/>
      <rgbColor rgb="FFC62828"/>
      <rgbColor rgb="FF757575"/>
      <rgbColor rgb="FF4E342E"/>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Gastos vs Presupuesto — Mes a Mes (Año Actual)</a:t>
            </a:r>
          </a:p>
        </rich>
      </tx>
      <overlay val="0"/>
      <spPr>
        <a:noFill xmlns:a="http://schemas.openxmlformats.org/drawingml/2006/main"/>
        <a:ln xmlns:a="http://schemas.openxmlformats.org/drawingml/2006/main" w="0">
          <a:noFill/>
          <a:prstDash val="solid"/>
        </a:ln>
      </spPr>
    </title>
    <plotArea>
      <lineChart>
        <grouping val="standard"/>
        <varyColors val="0"/>
        <ser>
          <idx val="0"/>
          <order val="0"/>
          <tx>
            <strRef>
              <f>Dashboard!B6</f>
              <strCache>
                <ptCount val="1"/>
                <pt idx="0">
                  <v>GASTOS ($COP)</v>
                </pt>
              </strCache>
            </strRef>
          </tx>
          <spPr>
            <a:solidFill xmlns:a="http://schemas.openxmlformats.org/drawingml/2006/main">
              <a:srgbClr val="2e7d32"/>
            </a:solidFill>
            <a:ln xmlns:a="http://schemas.openxmlformats.org/drawingml/2006/main" w="47520">
              <a:solidFill>
                <a:srgbClr val="2e7d32"/>
              </a:solidFill>
              <a:prstDash val="solid"/>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r"/>
            <showLegendKey val="0"/>
            <showVal val="0"/>
            <showCatName val="0"/>
            <showSerName val="0"/>
            <showPercent val="0"/>
            <showLeaderLines val="1"/>
          </dLbls>
          <cat>
            <strRef>
              <f>Dashboard!$A$7:$A$18</f>
              <strCache>
                <ptCount val="12"/>
                <pt idx="0">
                  <v>Ene</v>
                </pt>
                <pt idx="1">
                  <v>Feb</v>
                </pt>
                <pt idx="2">
                  <v>Mar</v>
                </pt>
                <pt idx="3">
                  <v>Abr</v>
                </pt>
                <pt idx="4">
                  <v>May</v>
                </pt>
                <pt idx="5">
                  <v>Jun</v>
                </pt>
                <pt idx="6">
                  <v>Jul</v>
                </pt>
                <pt idx="7">
                  <v>Ago</v>
                </pt>
                <pt idx="8">
                  <v>Sep</v>
                </pt>
                <pt idx="9">
                  <v>Oct</v>
                </pt>
                <pt idx="10">
                  <v>Nov</v>
                </pt>
                <pt idx="11">
                  <v>Dic</v>
                </pt>
              </strCache>
            </strRef>
          </cat>
          <val>
            <numRef>
              <f>Dashboard!$B$7:$B$18</f>
              <numCache>
                <formatCode>\$#,##0;"($"#,##0\);\-</formatCode>
                <ptCount val="12"/>
              </numCache>
            </numRef>
          </val>
          <smooth val="1"/>
        </ser>
        <ser>
          <idx val="1"/>
          <order val="1"/>
          <tx>
            <strRef>
              <f>Dashboard!C6</f>
              <strCache>
                <ptCount val="1"/>
                <pt idx="0">
                  <v>PRESUPUESTO</v>
                </pt>
              </strCache>
            </strRef>
          </tx>
          <spPr>
            <a:solidFill xmlns:a="http://schemas.openxmlformats.org/drawingml/2006/main">
              <a:srgbClr val="c62828"/>
            </a:solidFill>
            <a:ln xmlns:a="http://schemas.openxmlformats.org/drawingml/2006/main" w="47520">
              <a:solidFill>
                <a:srgbClr val="c62828"/>
              </a:solidFill>
              <a:prstDash val="solid"/>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r"/>
            <showLegendKey val="0"/>
            <showVal val="0"/>
            <showCatName val="0"/>
            <showSerName val="0"/>
            <showPercent val="0"/>
            <showLeaderLines val="1"/>
          </dLbls>
          <cat>
            <strRef>
              <f>Dashboard!$A$7:$A$18</f>
              <strCache>
                <ptCount val="12"/>
                <pt idx="0">
                  <v>Ene</v>
                </pt>
                <pt idx="1">
                  <v>Feb</v>
                </pt>
                <pt idx="2">
                  <v>Mar</v>
                </pt>
                <pt idx="3">
                  <v>Abr</v>
                </pt>
                <pt idx="4">
                  <v>May</v>
                </pt>
                <pt idx="5">
                  <v>Jun</v>
                </pt>
                <pt idx="6">
                  <v>Jul</v>
                </pt>
                <pt idx="7">
                  <v>Ago</v>
                </pt>
                <pt idx="8">
                  <v>Sep</v>
                </pt>
                <pt idx="9">
                  <v>Oct</v>
                </pt>
                <pt idx="10">
                  <v>Nov</v>
                </pt>
                <pt idx="11">
                  <v>Dic</v>
                </pt>
              </strCache>
            </strRef>
          </cat>
          <val>
            <numRef>
              <f>Dashboard!$C$7:$C$18</f>
              <numCache>
                <formatCode>\$#,##0;"($"#,##0\);\-</formatCode>
                <ptCount val="12"/>
                <pt idx="0">
                  <v>6000000</v>
                </pt>
                <pt idx="1">
                  <v>6000000</v>
                </pt>
                <pt idx="2">
                  <v>6000000</v>
                </pt>
                <pt idx="3">
                  <v>6000000</v>
                </pt>
                <pt idx="4">
                  <v>6000000</v>
                </pt>
                <pt idx="5">
                  <v>6000000</v>
                </pt>
                <pt idx="6">
                  <v>6000000</v>
                </pt>
                <pt idx="7">
                  <v>6000000</v>
                </pt>
                <pt idx="8">
                  <v>6000000</v>
                </pt>
                <pt idx="9">
                  <v>6000000</v>
                </pt>
                <pt idx="10">
                  <v>6000000</v>
                </pt>
                <pt idx="11">
                  <v>6000000</v>
                </pt>
              </numCache>
            </numRef>
          </val>
          <smooth val="1"/>
        </ser>
        <hiLowLines>
          <spPr>
            <a:ln xmlns:a="http://schemas.openxmlformats.org/drawingml/2006/main" w="0">
              <a:noFill/>
              <a:prstDash val="solid"/>
            </a:ln>
          </spPr>
        </hiLowLines>
        <marker val="0"/>
        <axId val="49234267"/>
        <axId val="63150285"/>
      </lineChart>
      <catAx>
        <axId val="49234267"/>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Mes</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63150285"/>
        <crosses val="autoZero"/>
        <auto val="1"/>
        <lblAlgn val="ctr"/>
        <lblOffset val="100"/>
        <noMultiLvlLbl val="0"/>
      </catAx>
      <valAx>
        <axId val="63150285"/>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COP ($)</a:t>
                </a:r>
              </a:p>
            </rich>
          </tx>
          <overlay val="0"/>
          <spPr>
            <a:noFill xmlns:a="http://schemas.openxmlformats.org/drawingml/2006/main"/>
            <a:ln xmlns:a="http://schemas.openxmlformats.org/drawingml/2006/main" w="0">
              <a:noFill/>
              <a:prstDash val="solid"/>
            </a:ln>
          </spPr>
        </title>
        <numFmt formatCode="\$#,##0;&quot;($&quot;#,##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49234267"/>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zero"/>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Distribución por Categoría — Mes Actual</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Dashboard!F6</f>
              <strCache>
                <ptCount val="1"/>
                <pt idx="0">
                  <v>GASTO MES ($)</v>
                </pt>
              </strCache>
            </strRef>
          </tx>
          <spPr>
            <a:solidFill xmlns:a="http://schemas.openxmlformats.org/drawingml/2006/main">
              <a:srgbClr val="4f81bd"/>
            </a:solidFill>
            <a:ln xmlns:a="http://schemas.openxmlformats.org/drawingml/2006/main" w="9360">
              <a:solidFill>
                <a:srgbClr val="f9f9f9"/>
              </a:solidFill>
              <a:prstDash val="solid"/>
              <a:roun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outEnd"/>
            <showLegendKey val="0"/>
            <showVal val="0"/>
            <showCatName val="0"/>
            <showSerName val="0"/>
            <showPercent val="0"/>
            <showLeaderLines val="1"/>
          </dLbls>
          <cat>
            <strRef>
              <f>Dashboard!$E$7:$E$14</f>
              <strCache>
                <ptCount val="8"/>
                <pt idx="0">
                  <v>Sanidad animal</v>
                </pt>
                <pt idx="1">
                  <v>Alimentación animal</v>
                </pt>
                <pt idx="2">
                  <v>Insumos agrícolas</v>
                </pt>
                <pt idx="3">
                  <v>Mano de obra</v>
                </pt>
                <pt idx="4">
                  <v>Maquinaria y equipos</v>
                </pt>
                <pt idx="5">
                  <v>Transporte</v>
                </pt>
                <pt idx="6">
                  <v>Semillas y material vegetal</v>
                </pt>
                <pt idx="7">
                  <v>Administración y otros</v>
                </pt>
              </strCache>
            </strRef>
          </cat>
          <val>
            <numRef>
              <f>Dashboard!$F$7:$F$14</f>
              <numCache>
                <formatCode>\$#,##0;"($"#,##0\);\-</formatCode>
                <ptCount val="8"/>
              </numCache>
            </numRef>
          </val>
        </ser>
        <gapWidth val="150"/>
        <overlap val="0"/>
        <axId val="93169675"/>
        <axId val="28553961"/>
      </barChart>
      <catAx>
        <axId val="93169675"/>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28553961"/>
        <crosses val="autoZero"/>
        <auto val="1"/>
        <lblAlgn val="ctr"/>
        <lblOffset val="100"/>
        <noMultiLvlLbl val="0"/>
      </catAx>
      <valAx>
        <axId val="28553961"/>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COP ($)</a:t>
                </a:r>
              </a:p>
            </rich>
          </tx>
          <overlay val="0"/>
          <spPr>
            <a:noFill xmlns:a="http://schemas.openxmlformats.org/drawingml/2006/main"/>
            <a:ln xmlns:a="http://schemas.openxmlformats.org/drawingml/2006/main" w="0">
              <a:noFill/>
              <a:prstDash val="solid"/>
            </a:ln>
          </spPr>
        </title>
        <numFmt formatCode="\$#,##0;&quot;($&quot;#,##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93169675"/>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 por Categoría — Mes Actual</a:t>
            </a:r>
          </a:p>
        </rich>
      </tx>
      <overlay val="0"/>
      <spPr>
        <a:noFill xmlns:a="http://schemas.openxmlformats.org/drawingml/2006/main"/>
        <a:ln xmlns:a="http://schemas.openxmlformats.org/drawingml/2006/main" w="0">
          <a:noFill/>
          <a:prstDash val="solid"/>
        </a:ln>
      </spPr>
    </title>
    <plotArea>
      <pieChart>
        <varyColors val="1"/>
        <ser>
          <idx val="0"/>
          <order val="0"/>
          <spPr>
            <a:solidFill xmlns:a="http://schemas.openxmlformats.org/drawingml/2006/main">
              <a:srgbClr val="4f81bd"/>
            </a:solidFill>
            <a:ln xmlns:a="http://schemas.openxmlformats.org/drawingml/2006/main" w="9360">
              <a:solidFill>
                <a:srgbClr val="f9f9f9"/>
              </a:solidFill>
              <a:prstDash val="solid"/>
              <a:round/>
            </a:ln>
          </spPr>
          <explosion val="0"/>
          <dPt>
            <idx val="0"/>
            <spPr>
              <a:solidFill xmlns:a="http://schemas.openxmlformats.org/drawingml/2006/main">
                <a:srgbClr val="4672a8"/>
              </a:solidFill>
              <a:ln xmlns:a="http://schemas.openxmlformats.org/drawingml/2006/main" w="9360">
                <a:solidFill>
                  <a:srgbClr val="f9f9f9"/>
                </a:solidFill>
                <a:prstDash val="solid"/>
                <a:round/>
              </a:ln>
            </spPr>
          </dPt>
          <dPt>
            <idx val="1"/>
            <spPr>
              <a:solidFill xmlns:a="http://schemas.openxmlformats.org/drawingml/2006/main">
                <a:srgbClr val="ab4744"/>
              </a:solidFill>
              <a:ln xmlns:a="http://schemas.openxmlformats.org/drawingml/2006/main" w="9360">
                <a:solidFill>
                  <a:srgbClr val="f9f9f9"/>
                </a:solidFill>
                <a:prstDash val="solid"/>
                <a:round/>
              </a:ln>
            </spPr>
          </dPt>
          <dPt>
            <idx val="2"/>
            <spPr>
              <a:solidFill xmlns:a="http://schemas.openxmlformats.org/drawingml/2006/main">
                <a:srgbClr val="8aa64f"/>
              </a:solidFill>
              <a:ln xmlns:a="http://schemas.openxmlformats.org/drawingml/2006/main" w="9360">
                <a:solidFill>
                  <a:srgbClr val="f9f9f9"/>
                </a:solidFill>
                <a:prstDash val="solid"/>
                <a:round/>
              </a:ln>
            </spPr>
          </dPt>
          <dPt>
            <idx val="3"/>
            <spPr>
              <a:solidFill xmlns:a="http://schemas.openxmlformats.org/drawingml/2006/main">
                <a:srgbClr val="725990"/>
              </a:solidFill>
              <a:ln xmlns:a="http://schemas.openxmlformats.org/drawingml/2006/main" w="9360">
                <a:solidFill>
                  <a:srgbClr val="f9f9f9"/>
                </a:solidFill>
                <a:prstDash val="solid"/>
                <a:round/>
              </a:ln>
            </spPr>
          </dPt>
          <dPt>
            <idx val="4"/>
            <spPr>
              <a:solidFill xmlns:a="http://schemas.openxmlformats.org/drawingml/2006/main">
                <a:srgbClr val="4299b0"/>
              </a:solidFill>
              <a:ln xmlns:a="http://schemas.openxmlformats.org/drawingml/2006/main" w="9360">
                <a:solidFill>
                  <a:srgbClr val="f9f9f9"/>
                </a:solidFill>
                <a:prstDash val="solid"/>
                <a:round/>
              </a:ln>
            </spPr>
          </dPt>
          <dPt>
            <idx val="5"/>
            <spPr>
              <a:solidFill xmlns:a="http://schemas.openxmlformats.org/drawingml/2006/main">
                <a:srgbClr val="dc853e"/>
              </a:solidFill>
              <a:ln xmlns:a="http://schemas.openxmlformats.org/drawingml/2006/main" w="9360">
                <a:solidFill>
                  <a:srgbClr val="f9f9f9"/>
                </a:solidFill>
                <a:prstDash val="solid"/>
                <a:round/>
              </a:ln>
            </spPr>
          </dPt>
          <dPt>
            <idx val="6"/>
            <spPr>
              <a:solidFill xmlns:a="http://schemas.openxmlformats.org/drawingml/2006/main">
                <a:srgbClr val="93a9ce"/>
              </a:solidFill>
              <a:ln xmlns:a="http://schemas.openxmlformats.org/drawingml/2006/main" w="9360">
                <a:solidFill>
                  <a:srgbClr val="f9f9f9"/>
                </a:solidFill>
                <a:prstDash val="solid"/>
                <a:round/>
              </a:ln>
            </spPr>
          </dPt>
          <dPt>
            <idx val="7"/>
            <spPr>
              <a:solidFill xmlns:a="http://schemas.openxmlformats.org/drawingml/2006/main">
                <a:srgbClr val="d09493"/>
              </a:solidFill>
              <a:ln xmlns:a="http://schemas.openxmlformats.org/drawingml/2006/main" w="9360">
                <a:solidFill>
                  <a:srgbClr val="f9f9f9"/>
                </a:solidFill>
                <a:prstDash val="solid"/>
                <a:round/>
              </a:ln>
            </spPr>
          </dPt>
          <dLbls>
            <dLbl>
              <idx val="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dLbl>
            <dLbl>
              <idx val="1"/>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dLbl>
            <dLbl>
              <idx val="2"/>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dLbl>
            <dLbl>
              <idx val="3"/>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dLbl>
            <dLbl>
              <idx val="4"/>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dLbl>
            <dLbl>
              <idx val="5"/>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dLbl>
            <dLbl>
              <idx val="6"/>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dLbl>
            <dLbl>
              <idx val="7"/>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dLb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showLeaderLines val="1"/>
          </dLbls>
          <cat>
            <strRef>
              <f>Dashboard!$E$7:$E$14</f>
              <strCache>
                <ptCount val="8"/>
                <pt idx="0">
                  <v>Sanidad animal</v>
                </pt>
                <pt idx="1">
                  <v>Alimentación animal</v>
                </pt>
                <pt idx="2">
                  <v>Insumos agrícolas</v>
                </pt>
                <pt idx="3">
                  <v>Mano de obra</v>
                </pt>
                <pt idx="4">
                  <v>Maquinaria y equipos</v>
                </pt>
                <pt idx="5">
                  <v>Transporte</v>
                </pt>
                <pt idx="6">
                  <v>Semillas y material vegetal</v>
                </pt>
                <pt idx="7">
                  <v>Administración y otros</v>
                </pt>
              </strCache>
            </strRef>
          </cat>
          <val>
            <numRef>
              <f>Dashboard!$F$7:$F$14</f>
              <numCache>
                <formatCode>\$#,##0;"($"#,##0\);\-</formatCode>
                <ptCount val="8"/>
              </numCache>
            </numRef>
          </val>
        </ser>
        <firstSliceAng val="0"/>
      </pie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twoCellAnchor editAs="oneCell">
    <from>
      <col>0</col>
      <colOff>0</colOff>
      <row>19</row>
      <rowOff>0</rowOff>
    </from>
    <to>
      <col>6</col>
      <colOff>558000</colOff>
      <row>41</row>
      <rowOff>128160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8</col>
      <colOff>0</colOff>
      <row>19</row>
      <rowOff>0</rowOff>
    </from>
    <to>
      <col>16</col>
      <colOff>85680</colOff>
      <row>41</row>
      <rowOff>128160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0</col>
      <colOff>0</colOff>
      <row>38</row>
      <rowOff>0</rowOff>
    </from>
    <to>
      <col>5</col>
      <colOff>465120</colOff>
      <row>60</row>
      <rowOff>127800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2E7D32"/>
    <outlinePr summaryBelow="1" summaryRight="1"/>
    <pageSetUpPr fitToPage="0"/>
  </sheetPr>
  <dimension ref="A1:N104"/>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75" min="1" max="1"/>
    <col width="35" customWidth="1" style="75" min="2" max="2"/>
    <col width="24" customWidth="1" style="75" min="3" max="3"/>
    <col width="20" customWidth="1" style="75" min="4" max="4"/>
    <col width="20" customWidth="1" style="75" min="5" max="5"/>
    <col width="20" customWidth="1" style="75" min="6" max="6"/>
    <col width="16" customWidth="1" style="75" min="7" max="8"/>
    <col width="18" customWidth="1" style="76" min="8" max="8"/>
    <col width="28" customWidth="1" style="75" min="9" max="10"/>
    <col width="13" customWidth="1" style="75" min="11" max="12"/>
    <col width="18" customWidth="1" style="75" min="13" max="13"/>
    <col width="28" customWidth="1" style="75" min="14" max="14"/>
  </cols>
  <sheetData>
    <row r="1" ht="30" customHeight="1" s="76">
      <c r="A1" s="154" t="inlineStr">
        <is>
          <t>CONTROL DE GASTOS — SOCIEDAD VARGAS MESA</t>
        </is>
      </c>
      <c r="J1" s="155" t="n"/>
      <c r="K1" s="155" t="n"/>
      <c r="L1" s="155" t="n"/>
      <c r="M1" s="155" t="n"/>
      <c r="N1" s="155" t="n"/>
    </row>
    <row r="2" ht="16" customHeight="1" s="76">
      <c r="A2" s="156" t="inlineStr">
        <is>
          <t>Fincas: Palosolo, El Japón y San José  |  Solo Sofía Vargas y Eufracio Vargas</t>
        </is>
      </c>
      <c r="J2" s="155" t="n"/>
      <c r="K2" s="155" t="n"/>
      <c r="L2" s="155" t="n"/>
      <c r="M2" s="155" t="n"/>
      <c r="N2" s="155" t="n"/>
    </row>
    <row r="3" ht="32" customHeight="1" s="76">
      <c r="A3" s="157" t="inlineStr">
        <is>
          <t>Fecha</t>
        </is>
      </c>
      <c r="B3" s="157" t="inlineStr">
        <is>
          <t>Descripción del Gasto</t>
        </is>
      </c>
      <c r="C3" s="157" t="inlineStr">
        <is>
          <t>Categoría</t>
        </is>
      </c>
      <c r="D3" s="157" t="inlineStr">
        <is>
          <t>Subcategoría</t>
        </is>
      </c>
      <c r="E3" s="157" t="inlineStr">
        <is>
          <t>Finca</t>
        </is>
      </c>
      <c r="F3" s="157" t="inlineStr">
        <is>
          <t>Proveedor</t>
        </is>
      </c>
      <c r="G3" s="157" t="inlineStr">
        <is>
          <t>Total ($COP)</t>
        </is>
      </c>
      <c r="H3" s="157" t="inlineStr">
        <is>
          <t>Registrado por</t>
        </is>
      </c>
      <c r="I3" s="157" t="inlineStr">
        <is>
          <t>Notas</t>
        </is>
      </c>
      <c r="J3" s="155" t="n"/>
      <c r="K3" s="155" t="n"/>
      <c r="L3" s="155" t="n"/>
      <c r="M3" s="155" t="n"/>
      <c r="N3" s="155" t="n"/>
    </row>
    <row r="4" ht="15" customHeight="1" s="76">
      <c r="A4" s="158" t="n"/>
      <c r="B4" s="159" t="n"/>
      <c r="C4" s="159" t="n"/>
      <c r="D4" s="159" t="n"/>
      <c r="E4" s="159" t="n"/>
      <c r="F4" s="159" t="n"/>
      <c r="G4" s="160" t="n"/>
      <c r="H4" s="159" t="n"/>
      <c r="I4" s="159" t="n"/>
      <c r="J4" s="155" t="n"/>
      <c r="K4" s="155" t="n"/>
      <c r="L4" s="155" t="n"/>
      <c r="M4" s="155" t="n"/>
      <c r="N4" s="155" t="n"/>
    </row>
    <row r="5" ht="15" customHeight="1" s="76">
      <c r="A5" s="161" t="n"/>
      <c r="B5" s="162" t="n"/>
      <c r="C5" s="162" t="n"/>
      <c r="D5" s="162" t="n"/>
      <c r="E5" s="162" t="n"/>
      <c r="F5" s="162" t="n"/>
      <c r="G5" s="163" t="n"/>
      <c r="H5" s="162" t="n"/>
      <c r="I5" s="162" t="n"/>
      <c r="J5" s="155" t="n"/>
      <c r="K5" s="155" t="n"/>
      <c r="L5" s="155" t="n"/>
      <c r="M5" s="155" t="n"/>
      <c r="N5" s="155" t="n"/>
    </row>
    <row r="6" ht="15" customHeight="1" s="76">
      <c r="A6" s="158" t="n"/>
      <c r="B6" s="159" t="n"/>
      <c r="C6" s="159" t="n"/>
      <c r="D6" s="159" t="n"/>
      <c r="E6" s="159" t="n"/>
      <c r="F6" s="159" t="n"/>
      <c r="G6" s="160" t="n"/>
      <c r="H6" s="159" t="n"/>
      <c r="I6" s="159" t="n"/>
      <c r="J6" s="155" t="n"/>
      <c r="K6" s="155" t="n"/>
      <c r="L6" s="155" t="n"/>
      <c r="M6" s="155" t="n"/>
      <c r="N6" s="155" t="n"/>
    </row>
    <row r="7" ht="15" customHeight="1" s="76">
      <c r="A7" s="161" t="n"/>
      <c r="B7" s="162" t="n"/>
      <c r="C7" s="162" t="n"/>
      <c r="D7" s="162" t="n"/>
      <c r="E7" s="162" t="n"/>
      <c r="F7" s="162" t="n"/>
      <c r="G7" s="163" t="n"/>
      <c r="H7" s="162" t="n"/>
      <c r="I7" s="162" t="n"/>
      <c r="J7" s="155" t="n"/>
      <c r="K7" s="155" t="n"/>
      <c r="L7" s="155" t="n"/>
      <c r="M7" s="155" t="n"/>
      <c r="N7" s="155" t="n"/>
    </row>
    <row r="8" ht="15" customHeight="1" s="76">
      <c r="A8" s="158" t="n"/>
      <c r="B8" s="159" t="n"/>
      <c r="C8" s="159" t="n"/>
      <c r="D8" s="159" t="n"/>
      <c r="E8" s="159" t="n"/>
      <c r="F8" s="159" t="n"/>
      <c r="G8" s="160" t="n"/>
      <c r="H8" s="159" t="n"/>
      <c r="I8" s="159" t="n"/>
      <c r="J8" s="155" t="n"/>
      <c r="K8" s="155" t="n"/>
      <c r="L8" s="155" t="n"/>
      <c r="M8" s="155" t="n"/>
      <c r="N8" s="155" t="n"/>
    </row>
    <row r="9" ht="15" customHeight="1" s="76">
      <c r="A9" s="161" t="n"/>
      <c r="B9" s="162" t="n"/>
      <c r="C9" s="162" t="n"/>
      <c r="D9" s="162" t="n"/>
      <c r="E9" s="162" t="n"/>
      <c r="F9" s="162" t="n"/>
      <c r="G9" s="163" t="n"/>
      <c r="H9" s="162" t="n"/>
      <c r="I9" s="162" t="n"/>
      <c r="J9" s="155" t="n"/>
      <c r="K9" s="155" t="n"/>
      <c r="L9" s="155" t="n"/>
      <c r="M9" s="155" t="n"/>
      <c r="N9" s="155" t="n"/>
    </row>
    <row r="10" ht="15" customHeight="1" s="76">
      <c r="A10" s="158" t="n"/>
      <c r="B10" s="159" t="n"/>
      <c r="C10" s="159" t="n"/>
      <c r="D10" s="159" t="n"/>
      <c r="E10" s="159" t="n"/>
      <c r="F10" s="159" t="n"/>
      <c r="G10" s="160" t="n"/>
      <c r="H10" s="159" t="n"/>
      <c r="I10" s="159" t="n"/>
      <c r="J10" s="155" t="n"/>
      <c r="K10" s="155" t="n"/>
      <c r="L10" s="155" t="n"/>
      <c r="M10" s="155" t="n"/>
      <c r="N10" s="155" t="n"/>
    </row>
    <row r="11" ht="15" customHeight="1" s="76">
      <c r="A11" s="161" t="n"/>
      <c r="B11" s="162" t="n"/>
      <c r="C11" s="162" t="n"/>
      <c r="D11" s="162" t="n"/>
      <c r="E11" s="162" t="n"/>
      <c r="F11" s="162" t="n"/>
      <c r="G11" s="163" t="n"/>
      <c r="H11" s="162" t="n"/>
      <c r="I11" s="162" t="n"/>
      <c r="J11" s="155" t="n"/>
      <c r="K11" s="155" t="n"/>
      <c r="L11" s="155" t="n"/>
      <c r="M11" s="155" t="n"/>
      <c r="N11" s="155" t="n"/>
    </row>
    <row r="12" ht="15" customHeight="1" s="76">
      <c r="A12" s="158" t="n"/>
      <c r="B12" s="159" t="n"/>
      <c r="C12" s="159" t="n"/>
      <c r="D12" s="159" t="n"/>
      <c r="E12" s="159" t="n"/>
      <c r="F12" s="159" t="n"/>
      <c r="G12" s="160" t="n"/>
      <c r="H12" s="159" t="n"/>
      <c r="I12" s="159" t="n"/>
      <c r="J12" s="155" t="n"/>
      <c r="K12" s="155" t="n"/>
      <c r="L12" s="155" t="n"/>
      <c r="M12" s="155" t="n"/>
      <c r="N12" s="155" t="n"/>
    </row>
    <row r="13" ht="15" customHeight="1" s="76">
      <c r="A13" s="161" t="n"/>
      <c r="B13" s="162" t="n"/>
      <c r="C13" s="162" t="n"/>
      <c r="D13" s="162" t="n"/>
      <c r="E13" s="162" t="n"/>
      <c r="F13" s="162" t="n"/>
      <c r="G13" s="163" t="n"/>
      <c r="H13" s="162" t="n"/>
      <c r="I13" s="162" t="n"/>
      <c r="J13" s="155" t="n"/>
      <c r="K13" s="155" t="n"/>
      <c r="L13" s="155" t="n"/>
      <c r="M13" s="155" t="n"/>
      <c r="N13" s="155" t="n"/>
    </row>
    <row r="14" ht="15" customHeight="1" s="76">
      <c r="A14" s="158" t="n"/>
      <c r="B14" s="159" t="n"/>
      <c r="C14" s="159" t="n"/>
      <c r="D14" s="159" t="n"/>
      <c r="E14" s="159" t="n"/>
      <c r="F14" s="159" t="n"/>
      <c r="G14" s="160" t="n"/>
      <c r="H14" s="159" t="n"/>
      <c r="I14" s="159" t="n"/>
      <c r="J14" s="155" t="n"/>
      <c r="K14" s="155" t="n"/>
      <c r="L14" s="155" t="n"/>
      <c r="M14" s="155" t="n"/>
      <c r="N14" s="155" t="n"/>
    </row>
    <row r="15" ht="15" customHeight="1" s="76">
      <c r="A15" s="161" t="n"/>
      <c r="B15" s="162" t="n"/>
      <c r="C15" s="162" t="n"/>
      <c r="D15" s="162" t="n"/>
      <c r="E15" s="162" t="n"/>
      <c r="F15" s="162" t="n"/>
      <c r="G15" s="163" t="n"/>
      <c r="H15" s="162" t="n"/>
      <c r="I15" s="162" t="n"/>
      <c r="J15" s="155" t="n"/>
      <c r="K15" s="155" t="n"/>
      <c r="L15" s="155" t="n"/>
      <c r="M15" s="155" t="n"/>
      <c r="N15" s="155" t="n"/>
    </row>
    <row r="16" ht="15" customHeight="1" s="76">
      <c r="A16" s="158" t="n"/>
      <c r="B16" s="159" t="n"/>
      <c r="C16" s="159" t="n"/>
      <c r="D16" s="159" t="n"/>
      <c r="E16" s="159" t="n"/>
      <c r="F16" s="159" t="n"/>
      <c r="G16" s="160" t="n"/>
      <c r="H16" s="159" t="n"/>
      <c r="I16" s="159" t="n"/>
      <c r="J16" s="155" t="n"/>
      <c r="K16" s="155" t="n"/>
      <c r="L16" s="155" t="n"/>
      <c r="M16" s="155" t="n"/>
      <c r="N16" s="155" t="n"/>
    </row>
    <row r="17" ht="15" customHeight="1" s="76">
      <c r="A17" s="161" t="n"/>
      <c r="B17" s="162" t="n"/>
      <c r="C17" s="162" t="n"/>
      <c r="D17" s="162" t="n"/>
      <c r="E17" s="162" t="n"/>
      <c r="F17" s="162" t="n"/>
      <c r="G17" s="163" t="n"/>
      <c r="H17" s="162" t="n"/>
      <c r="I17" s="162" t="n"/>
      <c r="J17" s="155" t="n"/>
      <c r="K17" s="155" t="n"/>
      <c r="L17" s="155" t="n"/>
      <c r="M17" s="155" t="n"/>
      <c r="N17" s="155" t="n"/>
    </row>
    <row r="18" ht="15" customHeight="1" s="76">
      <c r="A18" s="158" t="n"/>
      <c r="B18" s="159" t="n"/>
      <c r="C18" s="159" t="n"/>
      <c r="D18" s="159" t="n"/>
      <c r="E18" s="159" t="n"/>
      <c r="F18" s="159" t="n"/>
      <c r="G18" s="160" t="n"/>
      <c r="H18" s="159" t="n"/>
      <c r="I18" s="159" t="n"/>
      <c r="J18" s="155" t="n"/>
      <c r="K18" s="155" t="n"/>
      <c r="L18" s="155" t="n"/>
      <c r="M18" s="155" t="n"/>
      <c r="N18" s="155" t="n"/>
    </row>
    <row r="19" ht="15" customHeight="1" s="76">
      <c r="A19" s="161" t="n"/>
      <c r="B19" s="162" t="n"/>
      <c r="C19" s="162" t="n"/>
      <c r="D19" s="162" t="n"/>
      <c r="E19" s="162" t="n"/>
      <c r="F19" s="162" t="n"/>
      <c r="G19" s="163" t="n"/>
      <c r="H19" s="162" t="n"/>
      <c r="I19" s="162" t="n"/>
      <c r="J19" s="155" t="n"/>
      <c r="K19" s="155" t="n"/>
      <c r="L19" s="155" t="n"/>
      <c r="M19" s="155" t="n"/>
      <c r="N19" s="155" t="n"/>
    </row>
    <row r="20" ht="15" customHeight="1" s="76">
      <c r="A20" s="158" t="n"/>
      <c r="B20" s="159" t="n"/>
      <c r="C20" s="159" t="n"/>
      <c r="D20" s="159" t="n"/>
      <c r="E20" s="159" t="n"/>
      <c r="F20" s="159" t="n"/>
      <c r="G20" s="160" t="n"/>
      <c r="H20" s="159" t="n"/>
      <c r="I20" s="159" t="n"/>
      <c r="J20" s="155" t="n"/>
      <c r="K20" s="155" t="n"/>
      <c r="L20" s="155" t="n"/>
      <c r="M20" s="155" t="n"/>
      <c r="N20" s="155" t="n"/>
    </row>
    <row r="21" ht="15" customHeight="1" s="76">
      <c r="A21" s="161" t="n"/>
      <c r="B21" s="162" t="n"/>
      <c r="C21" s="162" t="n"/>
      <c r="D21" s="162" t="n"/>
      <c r="E21" s="162" t="n"/>
      <c r="F21" s="162" t="n"/>
      <c r="G21" s="163" t="n"/>
      <c r="H21" s="162" t="n"/>
      <c r="I21" s="162" t="n"/>
      <c r="J21" s="155" t="n"/>
      <c r="K21" s="155" t="n"/>
      <c r="L21" s="155" t="n"/>
      <c r="M21" s="155" t="n"/>
      <c r="N21" s="155" t="n"/>
    </row>
    <row r="22" ht="15" customHeight="1" s="76">
      <c r="A22" s="158" t="n"/>
      <c r="B22" s="159" t="n"/>
      <c r="C22" s="159" t="n"/>
      <c r="D22" s="159" t="n"/>
      <c r="E22" s="159" t="n"/>
      <c r="F22" s="159" t="n"/>
      <c r="G22" s="160" t="n"/>
      <c r="H22" s="159" t="n"/>
      <c r="I22" s="159" t="n"/>
      <c r="J22" s="155" t="n"/>
      <c r="K22" s="155" t="n"/>
      <c r="L22" s="155" t="n"/>
      <c r="M22" s="155" t="n"/>
      <c r="N22" s="155" t="n"/>
    </row>
    <row r="23" ht="15" customHeight="1" s="76">
      <c r="A23" s="161" t="n"/>
      <c r="B23" s="162" t="n"/>
      <c r="C23" s="162" t="n"/>
      <c r="D23" s="162" t="n"/>
      <c r="E23" s="162" t="n"/>
      <c r="F23" s="162" t="n"/>
      <c r="G23" s="163" t="n"/>
      <c r="H23" s="162" t="n"/>
      <c r="I23" s="162" t="n"/>
      <c r="J23" s="155" t="n"/>
      <c r="K23" s="155" t="n"/>
      <c r="L23" s="155" t="n"/>
      <c r="M23" s="155" t="n"/>
      <c r="N23" s="155" t="n"/>
    </row>
    <row r="24" ht="15" customHeight="1" s="76">
      <c r="A24" s="158" t="n"/>
      <c r="B24" s="159" t="n"/>
      <c r="C24" s="159" t="n"/>
      <c r="D24" s="159" t="n"/>
      <c r="E24" s="159" t="n"/>
      <c r="F24" s="159" t="n"/>
      <c r="G24" s="160" t="n"/>
      <c r="H24" s="159" t="n"/>
      <c r="I24" s="159" t="n"/>
      <c r="J24" s="155" t="n"/>
      <c r="K24" s="155" t="n"/>
      <c r="L24" s="155" t="n"/>
      <c r="M24" s="155" t="n"/>
      <c r="N24" s="155" t="n"/>
    </row>
    <row r="25" ht="15" customHeight="1" s="76">
      <c r="A25" s="161" t="n"/>
      <c r="B25" s="162" t="n"/>
      <c r="C25" s="162" t="n"/>
      <c r="D25" s="162" t="n"/>
      <c r="E25" s="162" t="n"/>
      <c r="F25" s="162" t="n"/>
      <c r="G25" s="163" t="n"/>
      <c r="H25" s="162" t="n"/>
      <c r="I25" s="162" t="n"/>
      <c r="J25" s="155" t="n"/>
      <c r="K25" s="155" t="n"/>
      <c r="L25" s="155" t="n"/>
      <c r="M25" s="155" t="n"/>
      <c r="N25" s="155" t="n"/>
    </row>
    <row r="26" ht="15" customHeight="1" s="76">
      <c r="A26" s="158" t="n"/>
      <c r="B26" s="159" t="n"/>
      <c r="C26" s="159" t="n"/>
      <c r="D26" s="159" t="n"/>
      <c r="E26" s="159" t="n"/>
      <c r="F26" s="159" t="n"/>
      <c r="G26" s="160" t="n"/>
      <c r="H26" s="159" t="n"/>
      <c r="I26" s="159" t="n"/>
      <c r="J26" s="155" t="n"/>
      <c r="K26" s="155" t="n"/>
      <c r="L26" s="155" t="n"/>
      <c r="M26" s="155" t="n"/>
      <c r="N26" s="155" t="n"/>
    </row>
    <row r="27" ht="15" customHeight="1" s="76">
      <c r="A27" s="161" t="n"/>
      <c r="B27" s="162" t="n"/>
      <c r="C27" s="162" t="n"/>
      <c r="D27" s="162" t="n"/>
      <c r="E27" s="162" t="n"/>
      <c r="F27" s="162" t="n"/>
      <c r="G27" s="163" t="n"/>
      <c r="H27" s="162" t="n"/>
      <c r="I27" s="162" t="n"/>
      <c r="J27" s="155" t="n"/>
      <c r="K27" s="155" t="n"/>
      <c r="L27" s="155" t="n"/>
      <c r="M27" s="155" t="n"/>
      <c r="N27" s="155" t="n"/>
    </row>
    <row r="28" ht="15" customHeight="1" s="76">
      <c r="A28" s="158" t="n"/>
      <c r="B28" s="159" t="n"/>
      <c r="C28" s="159" t="n"/>
      <c r="D28" s="159" t="n"/>
      <c r="E28" s="159" t="n"/>
      <c r="F28" s="159" t="n"/>
      <c r="G28" s="160" t="n"/>
      <c r="H28" s="159" t="n"/>
      <c r="I28" s="159" t="n"/>
      <c r="J28" s="155" t="n"/>
      <c r="K28" s="155" t="n"/>
      <c r="L28" s="155" t="n"/>
      <c r="M28" s="155" t="n"/>
      <c r="N28" s="155" t="n"/>
    </row>
    <row r="29" ht="15" customHeight="1" s="76">
      <c r="A29" s="161" t="n"/>
      <c r="B29" s="162" t="n"/>
      <c r="C29" s="162" t="n"/>
      <c r="D29" s="162" t="n"/>
      <c r="E29" s="162" t="n"/>
      <c r="F29" s="162" t="n"/>
      <c r="G29" s="163" t="n"/>
      <c r="H29" s="162" t="n"/>
      <c r="I29" s="162" t="n"/>
      <c r="J29" s="155" t="n"/>
      <c r="K29" s="155" t="n"/>
      <c r="L29" s="155" t="n"/>
      <c r="M29" s="155" t="n"/>
      <c r="N29" s="155" t="n"/>
    </row>
    <row r="30" ht="15" customHeight="1" s="76">
      <c r="A30" s="158" t="n"/>
      <c r="B30" s="159" t="n"/>
      <c r="C30" s="159" t="n"/>
      <c r="D30" s="159" t="n"/>
      <c r="E30" s="159" t="n"/>
      <c r="F30" s="159" t="n"/>
      <c r="G30" s="160" t="n"/>
      <c r="H30" s="159" t="n"/>
      <c r="I30" s="159" t="n"/>
      <c r="J30" s="155" t="n"/>
      <c r="K30" s="155" t="n"/>
      <c r="L30" s="155" t="n"/>
      <c r="M30" s="155" t="n"/>
      <c r="N30" s="155" t="n"/>
    </row>
    <row r="31" ht="15" customHeight="1" s="76">
      <c r="A31" s="161" t="n"/>
      <c r="B31" s="162" t="n"/>
      <c r="C31" s="162" t="n"/>
      <c r="D31" s="162" t="n"/>
      <c r="E31" s="162" t="n"/>
      <c r="F31" s="162" t="n"/>
      <c r="G31" s="163" t="n"/>
      <c r="H31" s="162" t="n"/>
      <c r="I31" s="162" t="n"/>
      <c r="J31" s="155" t="n"/>
      <c r="K31" s="155" t="n"/>
      <c r="L31" s="155" t="n"/>
      <c r="M31" s="155" t="n"/>
      <c r="N31" s="155" t="n"/>
    </row>
    <row r="32" ht="15" customHeight="1" s="76">
      <c r="A32" s="158" t="n"/>
      <c r="B32" s="159" t="n"/>
      <c r="C32" s="159" t="n"/>
      <c r="D32" s="159" t="n"/>
      <c r="E32" s="159" t="n"/>
      <c r="F32" s="159" t="n"/>
      <c r="G32" s="160" t="n"/>
      <c r="H32" s="159" t="n"/>
      <c r="I32" s="159" t="n"/>
      <c r="J32" s="155" t="n"/>
      <c r="K32" s="155" t="n"/>
      <c r="L32" s="155" t="n"/>
      <c r="M32" s="155" t="n"/>
      <c r="N32" s="155" t="n"/>
    </row>
    <row r="33" ht="15" customHeight="1" s="76">
      <c r="A33" s="161" t="n"/>
      <c r="B33" s="162" t="n"/>
      <c r="C33" s="162" t="n"/>
      <c r="D33" s="162" t="n"/>
      <c r="E33" s="162" t="n"/>
      <c r="F33" s="162" t="n"/>
      <c r="G33" s="163" t="n"/>
      <c r="H33" s="162" t="n"/>
      <c r="I33" s="162" t="n"/>
      <c r="J33" s="155" t="n"/>
      <c r="K33" s="155" t="n"/>
      <c r="L33" s="155" t="n"/>
      <c r="M33" s="155" t="n"/>
      <c r="N33" s="155" t="n"/>
    </row>
    <row r="34" ht="15" customHeight="1" s="76">
      <c r="A34" s="158" t="n"/>
      <c r="B34" s="159" t="n"/>
      <c r="C34" s="159" t="n"/>
      <c r="D34" s="159" t="n"/>
      <c r="E34" s="159" t="n"/>
      <c r="F34" s="159" t="n"/>
      <c r="G34" s="160" t="n"/>
      <c r="H34" s="159" t="n"/>
      <c r="I34" s="159" t="n"/>
      <c r="J34" s="155" t="n"/>
      <c r="K34" s="155" t="n"/>
      <c r="L34" s="155" t="n"/>
      <c r="M34" s="155" t="n"/>
      <c r="N34" s="155" t="n"/>
    </row>
    <row r="35" ht="15" customHeight="1" s="76">
      <c r="A35" s="161" t="n"/>
      <c r="B35" s="162" t="n"/>
      <c r="C35" s="162" t="n"/>
      <c r="D35" s="162" t="n"/>
      <c r="E35" s="162" t="n"/>
      <c r="F35" s="162" t="n"/>
      <c r="G35" s="163" t="n"/>
      <c r="H35" s="162" t="n"/>
      <c r="I35" s="162" t="n"/>
      <c r="J35" s="155" t="n"/>
      <c r="K35" s="155" t="n"/>
      <c r="L35" s="155" t="n"/>
      <c r="M35" s="155" t="n"/>
      <c r="N35" s="155" t="n"/>
    </row>
    <row r="36" ht="15" customHeight="1" s="76">
      <c r="A36" s="158" t="n"/>
      <c r="B36" s="159" t="n"/>
      <c r="C36" s="159" t="n"/>
      <c r="D36" s="159" t="n"/>
      <c r="E36" s="159" t="n"/>
      <c r="F36" s="159" t="n"/>
      <c r="G36" s="160" t="n"/>
      <c r="H36" s="159" t="n"/>
      <c r="I36" s="159" t="n"/>
      <c r="J36" s="155" t="n"/>
      <c r="K36" s="155" t="n"/>
      <c r="L36" s="155" t="n"/>
      <c r="M36" s="155" t="n"/>
      <c r="N36" s="155" t="n"/>
    </row>
    <row r="37" ht="15" customHeight="1" s="76">
      <c r="A37" s="161" t="n"/>
      <c r="B37" s="162" t="n"/>
      <c r="C37" s="162" t="n"/>
      <c r="D37" s="162" t="n"/>
      <c r="E37" s="162" t="n"/>
      <c r="F37" s="162" t="n"/>
      <c r="G37" s="163" t="n"/>
      <c r="H37" s="162" t="n"/>
      <c r="I37" s="162" t="n"/>
      <c r="J37" s="155" t="n"/>
      <c r="K37" s="155" t="n"/>
      <c r="L37" s="155" t="n"/>
      <c r="M37" s="155" t="n"/>
      <c r="N37" s="155" t="n"/>
    </row>
    <row r="38" ht="15" customHeight="1" s="76">
      <c r="A38" s="158" t="n"/>
      <c r="B38" s="159" t="n"/>
      <c r="C38" s="159" t="n"/>
      <c r="D38" s="159" t="n"/>
      <c r="E38" s="159" t="n"/>
      <c r="F38" s="159" t="n"/>
      <c r="G38" s="160" t="n"/>
      <c r="H38" s="159" t="n"/>
      <c r="I38" s="159" t="n"/>
      <c r="J38" s="155" t="n"/>
      <c r="K38" s="155" t="n"/>
      <c r="L38" s="155" t="n"/>
      <c r="M38" s="155" t="n"/>
      <c r="N38" s="155" t="n"/>
    </row>
    <row r="39" ht="15" customHeight="1" s="76">
      <c r="A39" s="161" t="n"/>
      <c r="B39" s="162" t="n"/>
      <c r="C39" s="162" t="n"/>
      <c r="D39" s="162" t="n"/>
      <c r="E39" s="162" t="n"/>
      <c r="F39" s="162" t="n"/>
      <c r="G39" s="163" t="n"/>
      <c r="H39" s="162" t="n"/>
      <c r="I39" s="162" t="n"/>
      <c r="J39" s="155" t="n"/>
      <c r="K39" s="155" t="n"/>
      <c r="L39" s="155" t="n"/>
      <c r="M39" s="155" t="n"/>
      <c r="N39" s="155" t="n"/>
    </row>
    <row r="40" ht="15" customHeight="1" s="76">
      <c r="A40" s="158" t="n"/>
      <c r="B40" s="159" t="n"/>
      <c r="C40" s="159" t="n"/>
      <c r="D40" s="159" t="n"/>
      <c r="E40" s="159" t="n"/>
      <c r="F40" s="159" t="n"/>
      <c r="G40" s="160" t="n"/>
      <c r="H40" s="159" t="n"/>
      <c r="I40" s="159" t="n"/>
      <c r="J40" s="155" t="n"/>
      <c r="K40" s="155" t="n"/>
      <c r="L40" s="155" t="n"/>
      <c r="M40" s="155" t="n"/>
      <c r="N40" s="155" t="n"/>
    </row>
    <row r="41" ht="15" customHeight="1" s="76">
      <c r="A41" s="161" t="n"/>
      <c r="B41" s="162" t="n"/>
      <c r="C41" s="162" t="n"/>
      <c r="D41" s="162" t="n"/>
      <c r="E41" s="162" t="n"/>
      <c r="F41" s="162" t="n"/>
      <c r="G41" s="163" t="n"/>
      <c r="H41" s="162" t="n"/>
      <c r="I41" s="162" t="n"/>
      <c r="J41" s="155" t="n"/>
      <c r="K41" s="155" t="n"/>
      <c r="L41" s="155" t="n"/>
      <c r="M41" s="155" t="n"/>
      <c r="N41" s="155" t="n"/>
    </row>
    <row r="42" ht="15" customHeight="1" s="76">
      <c r="A42" s="158" t="n"/>
      <c r="B42" s="159" t="n"/>
      <c r="C42" s="159" t="n"/>
      <c r="D42" s="159" t="n"/>
      <c r="E42" s="159" t="n"/>
      <c r="F42" s="159" t="n"/>
      <c r="G42" s="160" t="n"/>
      <c r="H42" s="159" t="n"/>
      <c r="I42" s="159" t="n"/>
      <c r="J42" s="155" t="n"/>
      <c r="K42" s="155" t="n"/>
      <c r="L42" s="155" t="n"/>
      <c r="M42" s="155" t="n"/>
      <c r="N42" s="155" t="n"/>
    </row>
    <row r="43" ht="15" customHeight="1" s="76">
      <c r="A43" s="161" t="n"/>
      <c r="B43" s="162" t="n"/>
      <c r="C43" s="162" t="n"/>
      <c r="D43" s="162" t="n"/>
      <c r="E43" s="162" t="n"/>
      <c r="F43" s="162" t="n"/>
      <c r="G43" s="163" t="n"/>
      <c r="H43" s="162" t="n"/>
      <c r="I43" s="162" t="n"/>
      <c r="J43" s="155" t="n"/>
      <c r="K43" s="155" t="n"/>
      <c r="L43" s="155" t="n"/>
      <c r="M43" s="155" t="n"/>
      <c r="N43" s="155" t="n"/>
    </row>
    <row r="44" ht="15" customHeight="1" s="76">
      <c r="A44" s="158" t="n"/>
      <c r="B44" s="159" t="n"/>
      <c r="C44" s="159" t="n"/>
      <c r="D44" s="159" t="n"/>
      <c r="E44" s="159" t="n"/>
      <c r="F44" s="159" t="n"/>
      <c r="G44" s="160" t="n"/>
      <c r="H44" s="159" t="n"/>
      <c r="I44" s="159" t="n"/>
      <c r="J44" s="155" t="n"/>
      <c r="K44" s="155" t="n"/>
      <c r="L44" s="155" t="n"/>
      <c r="M44" s="155" t="n"/>
      <c r="N44" s="155" t="n"/>
    </row>
    <row r="45" ht="15" customHeight="1" s="76">
      <c r="A45" s="161" t="n"/>
      <c r="B45" s="162" t="n"/>
      <c r="C45" s="162" t="n"/>
      <c r="D45" s="162" t="n"/>
      <c r="E45" s="162" t="n"/>
      <c r="F45" s="162" t="n"/>
      <c r="G45" s="163" t="n"/>
      <c r="H45" s="162" t="n"/>
      <c r="I45" s="162" t="n"/>
      <c r="J45" s="155" t="n"/>
      <c r="K45" s="155" t="n"/>
      <c r="L45" s="155" t="n"/>
      <c r="M45" s="155" t="n"/>
      <c r="N45" s="155" t="n"/>
    </row>
    <row r="46" ht="15" customHeight="1" s="76">
      <c r="A46" s="158" t="n"/>
      <c r="B46" s="159" t="n"/>
      <c r="C46" s="159" t="n"/>
      <c r="D46" s="159" t="n"/>
      <c r="E46" s="159" t="n"/>
      <c r="F46" s="159" t="n"/>
      <c r="G46" s="160" t="n"/>
      <c r="H46" s="159" t="n"/>
      <c r="I46" s="159" t="n"/>
      <c r="J46" s="155" t="n"/>
      <c r="K46" s="155" t="n"/>
      <c r="L46" s="155" t="n"/>
      <c r="M46" s="155" t="n"/>
      <c r="N46" s="155" t="n"/>
    </row>
    <row r="47" ht="15" customHeight="1" s="76">
      <c r="A47" s="161" t="n"/>
      <c r="B47" s="162" t="n"/>
      <c r="C47" s="162" t="n"/>
      <c r="D47" s="162" t="n"/>
      <c r="E47" s="162" t="n"/>
      <c r="F47" s="162" t="n"/>
      <c r="G47" s="163" t="n"/>
      <c r="H47" s="162" t="n"/>
      <c r="I47" s="162" t="n"/>
      <c r="J47" s="155" t="n"/>
      <c r="K47" s="155" t="n"/>
      <c r="L47" s="155" t="n"/>
      <c r="M47" s="155" t="n"/>
      <c r="N47" s="155" t="n"/>
    </row>
    <row r="48" ht="15" customHeight="1" s="76">
      <c r="A48" s="158" t="n"/>
      <c r="B48" s="159" t="n"/>
      <c r="C48" s="159" t="n"/>
      <c r="D48" s="159" t="n"/>
      <c r="E48" s="159" t="n"/>
      <c r="F48" s="159" t="n"/>
      <c r="G48" s="160" t="n"/>
      <c r="H48" s="159" t="n"/>
      <c r="I48" s="159" t="n"/>
      <c r="J48" s="155" t="n"/>
      <c r="K48" s="155" t="n"/>
      <c r="L48" s="155" t="n"/>
      <c r="M48" s="155" t="n"/>
      <c r="N48" s="155" t="n"/>
    </row>
    <row r="49" ht="15" customHeight="1" s="76">
      <c r="A49" s="161" t="n"/>
      <c r="B49" s="162" t="n"/>
      <c r="C49" s="162" t="n"/>
      <c r="D49" s="162" t="n"/>
      <c r="E49" s="162" t="n"/>
      <c r="F49" s="162" t="n"/>
      <c r="G49" s="163" t="n"/>
      <c r="H49" s="162" t="n"/>
      <c r="I49" s="162" t="n"/>
      <c r="J49" s="155" t="n"/>
      <c r="K49" s="155" t="n"/>
      <c r="L49" s="155" t="n"/>
      <c r="M49" s="155" t="n"/>
      <c r="N49" s="155" t="n"/>
    </row>
    <row r="50" ht="15" customHeight="1" s="76">
      <c r="A50" s="158" t="n"/>
      <c r="B50" s="159" t="n"/>
      <c r="C50" s="159" t="n"/>
      <c r="D50" s="159" t="n"/>
      <c r="E50" s="159" t="n"/>
      <c r="F50" s="159" t="n"/>
      <c r="G50" s="160" t="n"/>
      <c r="H50" s="159" t="n"/>
      <c r="I50" s="159" t="n"/>
      <c r="J50" s="155" t="n"/>
      <c r="K50" s="155" t="n"/>
      <c r="L50" s="155" t="n"/>
      <c r="M50" s="155" t="n"/>
      <c r="N50" s="155" t="n"/>
    </row>
    <row r="51" ht="15" customHeight="1" s="76">
      <c r="A51" s="161" t="n"/>
      <c r="B51" s="162" t="n"/>
      <c r="C51" s="162" t="n"/>
      <c r="D51" s="162" t="n"/>
      <c r="E51" s="162" t="n"/>
      <c r="F51" s="162" t="n"/>
      <c r="G51" s="163" t="n"/>
      <c r="H51" s="162" t="n"/>
      <c r="I51" s="162" t="n"/>
      <c r="J51" s="155" t="n"/>
      <c r="K51" s="155" t="n"/>
      <c r="L51" s="155" t="n"/>
      <c r="M51" s="155" t="n"/>
      <c r="N51" s="155" t="n"/>
    </row>
    <row r="52" ht="15" customHeight="1" s="76">
      <c r="A52" s="158" t="n"/>
      <c r="B52" s="159" t="n"/>
      <c r="C52" s="159" t="n"/>
      <c r="D52" s="159" t="n"/>
      <c r="E52" s="159" t="n"/>
      <c r="F52" s="159" t="n"/>
      <c r="G52" s="160" t="n"/>
      <c r="H52" s="159" t="n"/>
      <c r="I52" s="159" t="n"/>
      <c r="J52" s="155" t="n"/>
      <c r="K52" s="155" t="n"/>
      <c r="L52" s="155" t="n"/>
      <c r="M52" s="155" t="n"/>
      <c r="N52" s="155" t="n"/>
    </row>
    <row r="53" ht="15" customHeight="1" s="76">
      <c r="A53" s="161" t="n"/>
      <c r="B53" s="162" t="n"/>
      <c r="C53" s="162" t="n"/>
      <c r="D53" s="162" t="n"/>
      <c r="E53" s="162" t="n"/>
      <c r="F53" s="162" t="n"/>
      <c r="G53" s="163" t="n"/>
      <c r="H53" s="162" t="n"/>
      <c r="I53" s="162" t="n"/>
      <c r="J53" s="155" t="n"/>
      <c r="K53" s="155" t="n"/>
      <c r="L53" s="155" t="n"/>
      <c r="M53" s="155" t="n"/>
      <c r="N53" s="155" t="n"/>
    </row>
    <row r="54" ht="15" customHeight="1" s="76">
      <c r="A54" s="158" t="n"/>
      <c r="B54" s="159" t="n"/>
      <c r="C54" s="159" t="n"/>
      <c r="D54" s="159" t="n"/>
      <c r="E54" s="159" t="n"/>
      <c r="F54" s="159" t="n"/>
      <c r="G54" s="160" t="n"/>
      <c r="H54" s="159" t="n"/>
      <c r="I54" s="159" t="n"/>
      <c r="J54" s="155" t="n"/>
      <c r="K54" s="155" t="n"/>
      <c r="L54" s="155" t="n"/>
      <c r="M54" s="155" t="n"/>
      <c r="N54" s="155" t="n"/>
    </row>
    <row r="55" ht="15" customHeight="1" s="76">
      <c r="A55" s="161" t="n"/>
      <c r="B55" s="162" t="n"/>
      <c r="C55" s="162" t="n"/>
      <c r="D55" s="162" t="n"/>
      <c r="E55" s="162" t="n"/>
      <c r="F55" s="162" t="n"/>
      <c r="G55" s="163" t="n"/>
      <c r="H55" s="162" t="n"/>
      <c r="I55" s="162" t="n"/>
      <c r="J55" s="155" t="n"/>
      <c r="K55" s="155" t="n"/>
      <c r="L55" s="155" t="n"/>
      <c r="M55" s="155" t="n"/>
      <c r="N55" s="155" t="n"/>
    </row>
    <row r="56" ht="15" customHeight="1" s="76">
      <c r="A56" s="158" t="n"/>
      <c r="B56" s="159" t="n"/>
      <c r="C56" s="159" t="n"/>
      <c r="D56" s="159" t="n"/>
      <c r="E56" s="159" t="n"/>
      <c r="F56" s="159" t="n"/>
      <c r="G56" s="160" t="n"/>
      <c r="H56" s="159" t="n"/>
      <c r="I56" s="159" t="n"/>
      <c r="J56" s="155" t="n"/>
      <c r="K56" s="155" t="n"/>
      <c r="L56" s="155" t="n"/>
      <c r="M56" s="155" t="n"/>
      <c r="N56" s="155" t="n"/>
    </row>
    <row r="57" ht="15" customHeight="1" s="76">
      <c r="A57" s="161" t="n"/>
      <c r="B57" s="162" t="n"/>
      <c r="C57" s="162" t="n"/>
      <c r="D57" s="162" t="n"/>
      <c r="E57" s="162" t="n"/>
      <c r="F57" s="162" t="n"/>
      <c r="G57" s="163" t="n"/>
      <c r="H57" s="162" t="n"/>
      <c r="I57" s="162" t="n"/>
      <c r="J57" s="155" t="n"/>
      <c r="K57" s="155" t="n"/>
      <c r="L57" s="155" t="n"/>
      <c r="M57" s="155" t="n"/>
      <c r="N57" s="155" t="n"/>
    </row>
    <row r="58" ht="15" customHeight="1" s="76">
      <c r="A58" s="158" t="n"/>
      <c r="B58" s="159" t="n"/>
      <c r="C58" s="159" t="n"/>
      <c r="D58" s="159" t="n"/>
      <c r="E58" s="159" t="n"/>
      <c r="F58" s="159" t="n"/>
      <c r="G58" s="160" t="n"/>
      <c r="H58" s="159" t="n"/>
      <c r="I58" s="159" t="n"/>
      <c r="J58" s="155" t="n"/>
      <c r="K58" s="155" t="n"/>
      <c r="L58" s="155" t="n"/>
      <c r="M58" s="155" t="n"/>
      <c r="N58" s="155" t="n"/>
    </row>
    <row r="59" ht="15" customHeight="1" s="76">
      <c r="A59" s="161" t="n"/>
      <c r="B59" s="162" t="n"/>
      <c r="C59" s="162" t="n"/>
      <c r="D59" s="162" t="n"/>
      <c r="E59" s="162" t="n"/>
      <c r="F59" s="162" t="n"/>
      <c r="G59" s="163" t="n"/>
      <c r="H59" s="162" t="n"/>
      <c r="I59" s="162" t="n"/>
      <c r="J59" s="155" t="n"/>
      <c r="K59" s="155" t="n"/>
      <c r="L59" s="155" t="n"/>
      <c r="M59" s="155" t="n"/>
      <c r="N59" s="155" t="n"/>
    </row>
    <row r="60" ht="15" customHeight="1" s="76">
      <c r="A60" s="158" t="n"/>
      <c r="B60" s="159" t="n"/>
      <c r="C60" s="159" t="n"/>
      <c r="D60" s="159" t="n"/>
      <c r="E60" s="159" t="n"/>
      <c r="F60" s="159" t="n"/>
      <c r="G60" s="160" t="n"/>
      <c r="H60" s="159" t="n"/>
      <c r="I60" s="159" t="n"/>
      <c r="J60" s="155" t="n"/>
      <c r="K60" s="155" t="n"/>
      <c r="L60" s="155" t="n"/>
      <c r="M60" s="155" t="n"/>
      <c r="N60" s="155" t="n"/>
    </row>
    <row r="61" ht="15" customHeight="1" s="76">
      <c r="A61" s="161" t="n"/>
      <c r="B61" s="162" t="n"/>
      <c r="C61" s="162" t="n"/>
      <c r="D61" s="162" t="n"/>
      <c r="E61" s="162" t="n"/>
      <c r="F61" s="162" t="n"/>
      <c r="G61" s="163" t="n"/>
      <c r="H61" s="162" t="n"/>
      <c r="I61" s="162" t="n"/>
      <c r="J61" s="155" t="n"/>
      <c r="K61" s="155" t="n"/>
      <c r="L61" s="155" t="n"/>
      <c r="M61" s="155" t="n"/>
      <c r="N61" s="155" t="n"/>
    </row>
    <row r="62" ht="15" customHeight="1" s="76">
      <c r="A62" s="158" t="n"/>
      <c r="B62" s="159" t="n"/>
      <c r="C62" s="159" t="n"/>
      <c r="D62" s="159" t="n"/>
      <c r="E62" s="159" t="n"/>
      <c r="F62" s="159" t="n"/>
      <c r="G62" s="160" t="n"/>
      <c r="H62" s="159" t="n"/>
      <c r="I62" s="159" t="n"/>
      <c r="J62" s="155" t="n"/>
      <c r="K62" s="155" t="n"/>
      <c r="L62" s="155" t="n"/>
      <c r="M62" s="155" t="n"/>
      <c r="N62" s="155" t="n"/>
    </row>
    <row r="63" ht="15" customHeight="1" s="76">
      <c r="A63" s="161" t="n"/>
      <c r="B63" s="162" t="n"/>
      <c r="C63" s="162" t="n"/>
      <c r="D63" s="162" t="n"/>
      <c r="E63" s="162" t="n"/>
      <c r="F63" s="162" t="n"/>
      <c r="G63" s="163" t="n"/>
      <c r="H63" s="162" t="n"/>
      <c r="I63" s="162" t="n"/>
      <c r="J63" s="155" t="n"/>
      <c r="K63" s="155" t="n"/>
      <c r="L63" s="155" t="n"/>
      <c r="M63" s="155" t="n"/>
      <c r="N63" s="155" t="n"/>
    </row>
    <row r="64" ht="15" customHeight="1" s="76">
      <c r="A64" s="158" t="n"/>
      <c r="B64" s="159" t="n"/>
      <c r="C64" s="159" t="n"/>
      <c r="D64" s="159" t="n"/>
      <c r="E64" s="159" t="n"/>
      <c r="F64" s="159" t="n"/>
      <c r="G64" s="160" t="n"/>
      <c r="H64" s="159" t="n"/>
      <c r="I64" s="159" t="n"/>
      <c r="J64" s="155" t="n"/>
      <c r="K64" s="155" t="n"/>
      <c r="L64" s="155" t="n"/>
      <c r="M64" s="155" t="n"/>
      <c r="N64" s="155" t="n"/>
    </row>
    <row r="65" ht="15" customHeight="1" s="76">
      <c r="A65" s="161" t="n"/>
      <c r="B65" s="162" t="n"/>
      <c r="C65" s="162" t="n"/>
      <c r="D65" s="162" t="n"/>
      <c r="E65" s="162" t="n"/>
      <c r="F65" s="162" t="n"/>
      <c r="G65" s="163" t="n"/>
      <c r="H65" s="162" t="n"/>
      <c r="I65" s="162" t="n"/>
      <c r="J65" s="155" t="n"/>
      <c r="K65" s="155" t="n"/>
      <c r="L65" s="155" t="n"/>
      <c r="M65" s="155" t="n"/>
      <c r="N65" s="155" t="n"/>
    </row>
    <row r="66" ht="15" customHeight="1" s="76">
      <c r="A66" s="158" t="n"/>
      <c r="B66" s="159" t="n"/>
      <c r="C66" s="159" t="n"/>
      <c r="D66" s="159" t="n"/>
      <c r="E66" s="159" t="n"/>
      <c r="F66" s="159" t="n"/>
      <c r="G66" s="160" t="n"/>
      <c r="H66" s="159" t="n"/>
      <c r="I66" s="159" t="n"/>
      <c r="J66" s="155" t="n"/>
      <c r="K66" s="155" t="n"/>
      <c r="L66" s="155" t="n"/>
      <c r="M66" s="155" t="n"/>
      <c r="N66" s="155" t="n"/>
    </row>
    <row r="67" ht="15" customHeight="1" s="76">
      <c r="A67" s="161" t="n"/>
      <c r="B67" s="162" t="n"/>
      <c r="C67" s="162" t="n"/>
      <c r="D67" s="162" t="n"/>
      <c r="E67" s="162" t="n"/>
      <c r="F67" s="162" t="n"/>
      <c r="G67" s="163" t="n"/>
      <c r="H67" s="162" t="n"/>
      <c r="I67" s="162" t="n"/>
      <c r="J67" s="155" t="n"/>
      <c r="K67" s="155" t="n"/>
      <c r="L67" s="155" t="n"/>
      <c r="M67" s="155" t="n"/>
      <c r="N67" s="155" t="n"/>
    </row>
    <row r="68" ht="15" customHeight="1" s="76">
      <c r="A68" s="158" t="n"/>
      <c r="B68" s="159" t="n"/>
      <c r="C68" s="159" t="n"/>
      <c r="D68" s="159" t="n"/>
      <c r="E68" s="159" t="n"/>
      <c r="F68" s="159" t="n"/>
      <c r="G68" s="160" t="n"/>
      <c r="H68" s="159" t="n"/>
      <c r="I68" s="159" t="n"/>
      <c r="J68" s="155" t="n"/>
      <c r="K68" s="155" t="n"/>
      <c r="L68" s="155" t="n"/>
      <c r="M68" s="155" t="n"/>
      <c r="N68" s="155" t="n"/>
    </row>
    <row r="69" ht="15" customHeight="1" s="76">
      <c r="A69" s="161" t="n"/>
      <c r="B69" s="162" t="n"/>
      <c r="C69" s="162" t="n"/>
      <c r="D69" s="162" t="n"/>
      <c r="E69" s="162" t="n"/>
      <c r="F69" s="162" t="n"/>
      <c r="G69" s="163" t="n"/>
      <c r="H69" s="162" t="n"/>
      <c r="I69" s="162" t="n"/>
      <c r="J69" s="155" t="n"/>
      <c r="K69" s="155" t="n"/>
      <c r="L69" s="155" t="n"/>
      <c r="M69" s="155" t="n"/>
      <c r="N69" s="155" t="n"/>
    </row>
    <row r="70" ht="15" customHeight="1" s="76">
      <c r="A70" s="158" t="n"/>
      <c r="B70" s="159" t="n"/>
      <c r="C70" s="159" t="n"/>
      <c r="D70" s="159" t="n"/>
      <c r="E70" s="159" t="n"/>
      <c r="F70" s="159" t="n"/>
      <c r="G70" s="160" t="n"/>
      <c r="H70" s="159" t="n"/>
      <c r="I70" s="159" t="n"/>
      <c r="J70" s="155" t="n"/>
      <c r="K70" s="155" t="n"/>
      <c r="L70" s="155" t="n"/>
      <c r="M70" s="155" t="n"/>
      <c r="N70" s="155" t="n"/>
    </row>
    <row r="71" ht="15" customHeight="1" s="76">
      <c r="A71" s="161" t="n"/>
      <c r="B71" s="162" t="n"/>
      <c r="C71" s="162" t="n"/>
      <c r="D71" s="162" t="n"/>
      <c r="E71" s="162" t="n"/>
      <c r="F71" s="162" t="n"/>
      <c r="G71" s="163" t="n"/>
      <c r="H71" s="162" t="n"/>
      <c r="I71" s="162" t="n"/>
      <c r="J71" s="155" t="n"/>
      <c r="K71" s="155" t="n"/>
      <c r="L71" s="155" t="n"/>
      <c r="M71" s="155" t="n"/>
      <c r="N71" s="155" t="n"/>
    </row>
    <row r="72" ht="15" customHeight="1" s="76">
      <c r="A72" s="158" t="n"/>
      <c r="B72" s="159" t="n"/>
      <c r="C72" s="159" t="n"/>
      <c r="D72" s="159" t="n"/>
      <c r="E72" s="159" t="n"/>
      <c r="F72" s="159" t="n"/>
      <c r="G72" s="160" t="n"/>
      <c r="H72" s="159" t="n"/>
      <c r="I72" s="159" t="n"/>
      <c r="J72" s="155" t="n"/>
      <c r="K72" s="155" t="n"/>
      <c r="L72" s="155" t="n"/>
      <c r="M72" s="155" t="n"/>
      <c r="N72" s="155" t="n"/>
    </row>
    <row r="73" ht="15" customHeight="1" s="76">
      <c r="A73" s="161" t="n"/>
      <c r="B73" s="162" t="n"/>
      <c r="C73" s="162" t="n"/>
      <c r="D73" s="162" t="n"/>
      <c r="E73" s="162" t="n"/>
      <c r="F73" s="162" t="n"/>
      <c r="G73" s="163" t="n"/>
      <c r="H73" s="162" t="n"/>
      <c r="I73" s="162" t="n"/>
      <c r="J73" s="155" t="n"/>
      <c r="K73" s="155" t="n"/>
      <c r="L73" s="155" t="n"/>
      <c r="M73" s="155" t="n"/>
      <c r="N73" s="155" t="n"/>
    </row>
    <row r="74" ht="15" customHeight="1" s="76">
      <c r="A74" s="158" t="n"/>
      <c r="B74" s="159" t="n"/>
      <c r="C74" s="159" t="n"/>
      <c r="D74" s="159" t="n"/>
      <c r="E74" s="159" t="n"/>
      <c r="F74" s="159" t="n"/>
      <c r="G74" s="160" t="n"/>
      <c r="H74" s="159" t="n"/>
      <c r="I74" s="159" t="n"/>
      <c r="J74" s="155" t="n"/>
      <c r="K74" s="155" t="n"/>
      <c r="L74" s="155" t="n"/>
      <c r="M74" s="155" t="n"/>
      <c r="N74" s="155" t="n"/>
    </row>
    <row r="75" ht="15" customHeight="1" s="76">
      <c r="A75" s="161" t="n"/>
      <c r="B75" s="162" t="n"/>
      <c r="C75" s="162" t="n"/>
      <c r="D75" s="162" t="n"/>
      <c r="E75" s="162" t="n"/>
      <c r="F75" s="162" t="n"/>
      <c r="G75" s="163" t="n"/>
      <c r="H75" s="162" t="n"/>
      <c r="I75" s="162" t="n"/>
      <c r="J75" s="155" t="n"/>
      <c r="K75" s="155" t="n"/>
      <c r="L75" s="155" t="n"/>
      <c r="M75" s="155" t="n"/>
      <c r="N75" s="155" t="n"/>
    </row>
    <row r="76" ht="15" customHeight="1" s="76">
      <c r="A76" s="158" t="n"/>
      <c r="B76" s="159" t="n"/>
      <c r="C76" s="159" t="n"/>
      <c r="D76" s="159" t="n"/>
      <c r="E76" s="159" t="n"/>
      <c r="F76" s="159" t="n"/>
      <c r="G76" s="160" t="n"/>
      <c r="H76" s="159" t="n"/>
      <c r="I76" s="159" t="n"/>
      <c r="J76" s="155" t="n"/>
      <c r="K76" s="155" t="n"/>
      <c r="L76" s="155" t="n"/>
      <c r="M76" s="155" t="n"/>
      <c r="N76" s="155" t="n"/>
    </row>
    <row r="77" ht="15" customHeight="1" s="76">
      <c r="A77" s="161" t="n"/>
      <c r="B77" s="162" t="n"/>
      <c r="C77" s="162" t="n"/>
      <c r="D77" s="162" t="n"/>
      <c r="E77" s="162" t="n"/>
      <c r="F77" s="162" t="n"/>
      <c r="G77" s="163" t="n"/>
      <c r="H77" s="162" t="n"/>
      <c r="I77" s="162" t="n"/>
      <c r="J77" s="155" t="n"/>
      <c r="K77" s="155" t="n"/>
      <c r="L77" s="155" t="n"/>
      <c r="M77" s="155" t="n"/>
      <c r="N77" s="155" t="n"/>
    </row>
    <row r="78" ht="15" customHeight="1" s="76">
      <c r="A78" s="158" t="n"/>
      <c r="B78" s="159" t="n"/>
      <c r="C78" s="159" t="n"/>
      <c r="D78" s="159" t="n"/>
      <c r="E78" s="159" t="n"/>
      <c r="F78" s="159" t="n"/>
      <c r="G78" s="160" t="n"/>
      <c r="H78" s="159" t="n"/>
      <c r="I78" s="159" t="n"/>
      <c r="J78" s="155" t="n"/>
      <c r="K78" s="155" t="n"/>
      <c r="L78" s="155" t="n"/>
      <c r="M78" s="155" t="n"/>
      <c r="N78" s="155" t="n"/>
    </row>
    <row r="79" ht="15" customHeight="1" s="76">
      <c r="A79" s="161" t="n"/>
      <c r="B79" s="162" t="n"/>
      <c r="C79" s="162" t="n"/>
      <c r="D79" s="162" t="n"/>
      <c r="E79" s="162" t="n"/>
      <c r="F79" s="162" t="n"/>
      <c r="G79" s="163" t="n"/>
      <c r="H79" s="162" t="n"/>
      <c r="I79" s="162" t="n"/>
      <c r="J79" s="155" t="n"/>
      <c r="K79" s="155" t="n"/>
      <c r="L79" s="155" t="n"/>
      <c r="M79" s="155" t="n"/>
      <c r="N79" s="155" t="n"/>
    </row>
    <row r="80" ht="15" customHeight="1" s="76">
      <c r="A80" s="158" t="n"/>
      <c r="B80" s="159" t="n"/>
      <c r="C80" s="159" t="n"/>
      <c r="D80" s="159" t="n"/>
      <c r="E80" s="159" t="n"/>
      <c r="F80" s="159" t="n"/>
      <c r="G80" s="160" t="n"/>
      <c r="H80" s="159" t="n"/>
      <c r="I80" s="159" t="n"/>
      <c r="J80" s="155" t="n"/>
      <c r="K80" s="155" t="n"/>
      <c r="L80" s="155" t="n"/>
      <c r="M80" s="155" t="n"/>
      <c r="N80" s="155" t="n"/>
    </row>
    <row r="81" ht="15" customHeight="1" s="76">
      <c r="A81" s="161" t="n"/>
      <c r="B81" s="162" t="n"/>
      <c r="C81" s="162" t="n"/>
      <c r="D81" s="162" t="n"/>
      <c r="E81" s="162" t="n"/>
      <c r="F81" s="162" t="n"/>
      <c r="G81" s="163" t="n"/>
      <c r="H81" s="162" t="n"/>
      <c r="I81" s="162" t="n"/>
      <c r="J81" s="155" t="n"/>
      <c r="K81" s="155" t="n"/>
      <c r="L81" s="155" t="n"/>
      <c r="M81" s="155" t="n"/>
      <c r="N81" s="155" t="n"/>
    </row>
    <row r="82" ht="15" customHeight="1" s="76">
      <c r="A82" s="158" t="n"/>
      <c r="B82" s="159" t="n"/>
      <c r="C82" s="159" t="n"/>
      <c r="D82" s="159" t="n"/>
      <c r="E82" s="159" t="n"/>
      <c r="F82" s="159" t="n"/>
      <c r="G82" s="160" t="n"/>
      <c r="H82" s="159" t="n"/>
      <c r="I82" s="159" t="n"/>
      <c r="J82" s="155" t="n"/>
      <c r="K82" s="155" t="n"/>
      <c r="L82" s="155" t="n"/>
      <c r="M82" s="155" t="n"/>
      <c r="N82" s="155" t="n"/>
    </row>
    <row r="83" ht="15" customHeight="1" s="76">
      <c r="A83" s="161" t="n"/>
      <c r="B83" s="162" t="n"/>
      <c r="C83" s="162" t="n"/>
      <c r="D83" s="162" t="n"/>
      <c r="E83" s="162" t="n"/>
      <c r="F83" s="162" t="n"/>
      <c r="G83" s="163" t="n"/>
      <c r="H83" s="162" t="n"/>
      <c r="I83" s="162" t="n"/>
      <c r="J83" s="155" t="n"/>
      <c r="K83" s="155" t="n"/>
      <c r="L83" s="155" t="n"/>
      <c r="M83" s="155" t="n"/>
      <c r="N83" s="155" t="n"/>
    </row>
    <row r="84" ht="15" customHeight="1" s="76">
      <c r="A84" s="158" t="n"/>
      <c r="B84" s="159" t="n"/>
      <c r="C84" s="159" t="n"/>
      <c r="D84" s="159" t="n"/>
      <c r="E84" s="159" t="n"/>
      <c r="F84" s="159" t="n"/>
      <c r="G84" s="160" t="n"/>
      <c r="H84" s="159" t="n"/>
      <c r="I84" s="159" t="n"/>
      <c r="J84" s="155" t="n"/>
      <c r="K84" s="155" t="n"/>
      <c r="L84" s="155" t="n"/>
      <c r="M84" s="155" t="n"/>
      <c r="N84" s="155" t="n"/>
    </row>
    <row r="85" ht="15" customHeight="1" s="76">
      <c r="A85" s="161" t="n"/>
      <c r="B85" s="162" t="n"/>
      <c r="C85" s="162" t="n"/>
      <c r="D85" s="162" t="n"/>
      <c r="E85" s="162" t="n"/>
      <c r="F85" s="162" t="n"/>
      <c r="G85" s="163" t="n"/>
      <c r="H85" s="162" t="n"/>
      <c r="I85" s="162" t="n"/>
      <c r="J85" s="155" t="n"/>
      <c r="K85" s="155" t="n"/>
      <c r="L85" s="155" t="n"/>
      <c r="M85" s="155" t="n"/>
      <c r="N85" s="155" t="n"/>
    </row>
    <row r="86" ht="15" customHeight="1" s="76">
      <c r="A86" s="158" t="n"/>
      <c r="B86" s="159" t="n"/>
      <c r="C86" s="159" t="n"/>
      <c r="D86" s="159" t="n"/>
      <c r="E86" s="159" t="n"/>
      <c r="F86" s="159" t="n"/>
      <c r="G86" s="160" t="n"/>
      <c r="H86" s="159" t="n"/>
      <c r="I86" s="159" t="n"/>
      <c r="J86" s="155" t="n"/>
      <c r="K86" s="155" t="n"/>
      <c r="L86" s="155" t="n"/>
      <c r="M86" s="155" t="n"/>
      <c r="N86" s="155" t="n"/>
    </row>
    <row r="87" ht="15" customHeight="1" s="76">
      <c r="A87" s="161" t="n"/>
      <c r="B87" s="162" t="n"/>
      <c r="C87" s="162" t="n"/>
      <c r="D87" s="162" t="n"/>
      <c r="E87" s="162" t="n"/>
      <c r="F87" s="162" t="n"/>
      <c r="G87" s="163" t="n"/>
      <c r="H87" s="162" t="n"/>
      <c r="I87" s="162" t="n"/>
      <c r="J87" s="155" t="n"/>
      <c r="K87" s="155" t="n"/>
      <c r="L87" s="155" t="n"/>
      <c r="M87" s="155" t="n"/>
      <c r="N87" s="155" t="n"/>
    </row>
    <row r="88" ht="15" customHeight="1" s="76">
      <c r="A88" s="158" t="n"/>
      <c r="B88" s="159" t="n"/>
      <c r="C88" s="159" t="n"/>
      <c r="D88" s="159" t="n"/>
      <c r="E88" s="159" t="n"/>
      <c r="F88" s="159" t="n"/>
      <c r="G88" s="160" t="n"/>
      <c r="H88" s="159" t="n"/>
      <c r="I88" s="159" t="n"/>
      <c r="J88" s="155" t="n"/>
      <c r="K88" s="155" t="n"/>
      <c r="L88" s="155" t="n"/>
      <c r="M88" s="155" t="n"/>
      <c r="N88" s="155" t="n"/>
    </row>
    <row r="89" ht="15" customHeight="1" s="76">
      <c r="A89" s="161" t="n"/>
      <c r="B89" s="162" t="n"/>
      <c r="C89" s="162" t="n"/>
      <c r="D89" s="162" t="n"/>
      <c r="E89" s="162" t="n"/>
      <c r="F89" s="162" t="n"/>
      <c r="G89" s="163" t="n"/>
      <c r="H89" s="162" t="n"/>
      <c r="I89" s="162" t="n"/>
      <c r="J89" s="155" t="n"/>
      <c r="K89" s="155" t="n"/>
      <c r="L89" s="155" t="n"/>
      <c r="M89" s="155" t="n"/>
      <c r="N89" s="155" t="n"/>
    </row>
    <row r="90" ht="15" customHeight="1" s="76">
      <c r="A90" s="158" t="n"/>
      <c r="B90" s="159" t="n"/>
      <c r="C90" s="159" t="n"/>
      <c r="D90" s="159" t="n"/>
      <c r="E90" s="159" t="n"/>
      <c r="F90" s="159" t="n"/>
      <c r="G90" s="160" t="n"/>
      <c r="H90" s="159" t="n"/>
      <c r="I90" s="159" t="n"/>
      <c r="J90" s="155" t="n"/>
      <c r="K90" s="155" t="n"/>
      <c r="L90" s="155" t="n"/>
      <c r="M90" s="155" t="n"/>
      <c r="N90" s="155" t="n"/>
    </row>
    <row r="91" ht="15" customHeight="1" s="76">
      <c r="A91" s="161" t="n"/>
      <c r="B91" s="162" t="n"/>
      <c r="C91" s="162" t="n"/>
      <c r="D91" s="162" t="n"/>
      <c r="E91" s="162" t="n"/>
      <c r="F91" s="162" t="n"/>
      <c r="G91" s="163" t="n"/>
      <c r="H91" s="162" t="n"/>
      <c r="I91" s="162" t="n"/>
      <c r="J91" s="155" t="n"/>
      <c r="K91" s="155" t="n"/>
      <c r="L91" s="155" t="n"/>
      <c r="M91" s="155" t="n"/>
      <c r="N91" s="155" t="n"/>
    </row>
    <row r="92" ht="15" customHeight="1" s="76">
      <c r="A92" s="158" t="n"/>
      <c r="B92" s="159" t="n"/>
      <c r="C92" s="159" t="n"/>
      <c r="D92" s="159" t="n"/>
      <c r="E92" s="159" t="n"/>
      <c r="F92" s="159" t="n"/>
      <c r="G92" s="160" t="n"/>
      <c r="H92" s="159" t="n"/>
      <c r="I92" s="159" t="n"/>
      <c r="J92" s="155" t="n"/>
      <c r="K92" s="155" t="n"/>
      <c r="L92" s="155" t="n"/>
      <c r="M92" s="155" t="n"/>
      <c r="N92" s="155" t="n"/>
    </row>
    <row r="93" ht="15" customHeight="1" s="76">
      <c r="A93" s="161" t="n"/>
      <c r="B93" s="162" t="n"/>
      <c r="C93" s="162" t="n"/>
      <c r="D93" s="162" t="n"/>
      <c r="E93" s="162" t="n"/>
      <c r="F93" s="162" t="n"/>
      <c r="G93" s="163" t="n"/>
      <c r="H93" s="162" t="n"/>
      <c r="I93" s="162" t="n"/>
      <c r="J93" s="155" t="n"/>
      <c r="K93" s="155" t="n"/>
      <c r="L93" s="155" t="n"/>
      <c r="M93" s="155" t="n"/>
      <c r="N93" s="155" t="n"/>
    </row>
    <row r="94" ht="15" customHeight="1" s="76">
      <c r="A94" s="158" t="n"/>
      <c r="B94" s="159" t="n"/>
      <c r="C94" s="159" t="n"/>
      <c r="D94" s="159" t="n"/>
      <c r="E94" s="159" t="n"/>
      <c r="F94" s="159" t="n"/>
      <c r="G94" s="160" t="n"/>
      <c r="H94" s="159" t="n"/>
      <c r="I94" s="159" t="n"/>
      <c r="J94" s="155" t="n"/>
      <c r="K94" s="155" t="n"/>
      <c r="L94" s="155" t="n"/>
      <c r="M94" s="155" t="n"/>
      <c r="N94" s="155" t="n"/>
    </row>
    <row r="95" ht="15" customHeight="1" s="76">
      <c r="A95" s="161" t="n"/>
      <c r="B95" s="162" t="n"/>
      <c r="C95" s="162" t="n"/>
      <c r="D95" s="162" t="n"/>
      <c r="E95" s="162" t="n"/>
      <c r="F95" s="162" t="n"/>
      <c r="G95" s="163" t="n"/>
      <c r="H95" s="162" t="n"/>
      <c r="I95" s="162" t="n"/>
      <c r="J95" s="155" t="n"/>
      <c r="K95" s="155" t="n"/>
      <c r="L95" s="155" t="n"/>
      <c r="M95" s="155" t="n"/>
      <c r="N95" s="155" t="n"/>
    </row>
    <row r="96" ht="15" customHeight="1" s="76">
      <c r="A96" s="158" t="n"/>
      <c r="B96" s="159" t="n"/>
      <c r="C96" s="159" t="n"/>
      <c r="D96" s="159" t="n"/>
      <c r="E96" s="159" t="n"/>
      <c r="F96" s="159" t="n"/>
      <c r="G96" s="160" t="n"/>
      <c r="H96" s="159" t="n"/>
      <c r="I96" s="159" t="n"/>
      <c r="J96" s="155" t="n"/>
      <c r="K96" s="155" t="n"/>
      <c r="L96" s="155" t="n"/>
      <c r="M96" s="155" t="n"/>
      <c r="N96" s="155" t="n"/>
    </row>
    <row r="97" ht="15" customHeight="1" s="76">
      <c r="A97" s="161" t="n"/>
      <c r="B97" s="162" t="n"/>
      <c r="C97" s="162" t="n"/>
      <c r="D97" s="162" t="n"/>
      <c r="E97" s="162" t="n"/>
      <c r="F97" s="162" t="n"/>
      <c r="G97" s="163" t="n"/>
      <c r="H97" s="162" t="n"/>
      <c r="I97" s="162" t="n"/>
      <c r="J97" s="155" t="n"/>
      <c r="K97" s="155" t="n"/>
      <c r="L97" s="155" t="n"/>
      <c r="M97" s="155" t="n"/>
      <c r="N97" s="155" t="n"/>
    </row>
    <row r="98" ht="15" customHeight="1" s="76">
      <c r="A98" s="158" t="n"/>
      <c r="B98" s="159" t="n"/>
      <c r="C98" s="159" t="n"/>
      <c r="D98" s="159" t="n"/>
      <c r="E98" s="159" t="n"/>
      <c r="F98" s="159" t="n"/>
      <c r="G98" s="160" t="n"/>
      <c r="H98" s="159" t="n"/>
      <c r="I98" s="159" t="n"/>
      <c r="J98" s="155" t="n"/>
      <c r="K98" s="155" t="n"/>
      <c r="L98" s="155" t="n"/>
      <c r="M98" s="155" t="n"/>
      <c r="N98" s="155" t="n"/>
    </row>
    <row r="99" ht="15" customHeight="1" s="76">
      <c r="A99" s="161" t="n"/>
      <c r="B99" s="162" t="n"/>
      <c r="C99" s="162" t="n"/>
      <c r="D99" s="162" t="n"/>
      <c r="E99" s="162" t="n"/>
      <c r="F99" s="162" t="n"/>
      <c r="G99" s="163" t="n"/>
      <c r="H99" s="162" t="n"/>
      <c r="I99" s="162" t="n"/>
      <c r="J99" s="155" t="n"/>
      <c r="K99" s="155" t="n"/>
      <c r="L99" s="155" t="n"/>
      <c r="M99" s="155" t="n"/>
      <c r="N99" s="155" t="n"/>
    </row>
    <row r="100" ht="15" customHeight="1" s="76">
      <c r="A100" s="158" t="n"/>
      <c r="B100" s="159" t="n"/>
      <c r="C100" s="159" t="n"/>
      <c r="D100" s="159" t="n"/>
      <c r="E100" s="159" t="n"/>
      <c r="F100" s="159" t="n"/>
      <c r="G100" s="160" t="n"/>
      <c r="H100" s="159" t="n"/>
      <c r="I100" s="159" t="n"/>
      <c r="J100" s="155" t="n"/>
      <c r="K100" s="155" t="n"/>
      <c r="L100" s="155" t="n"/>
      <c r="M100" s="155" t="n"/>
      <c r="N100" s="155" t="n"/>
    </row>
    <row r="101" ht="15" customHeight="1" s="76">
      <c r="A101" s="161" t="n"/>
      <c r="B101" s="162" t="n"/>
      <c r="C101" s="162" t="n"/>
      <c r="D101" s="162" t="n"/>
      <c r="E101" s="162" t="n"/>
      <c r="F101" s="162" t="n"/>
      <c r="G101" s="163" t="n"/>
      <c r="H101" s="162" t="n"/>
      <c r="I101" s="162" t="n"/>
      <c r="J101" s="155" t="n"/>
      <c r="K101" s="155" t="n"/>
      <c r="L101" s="155" t="n"/>
      <c r="M101" s="155" t="n"/>
      <c r="N101" s="155" t="n"/>
    </row>
    <row r="102" ht="15" customHeight="1" s="76">
      <c r="A102" s="158" t="n"/>
      <c r="B102" s="159" t="n"/>
      <c r="C102" s="159" t="n"/>
      <c r="D102" s="159" t="n"/>
      <c r="E102" s="159" t="n"/>
      <c r="F102" s="159" t="n"/>
      <c r="G102" s="160" t="n"/>
      <c r="H102" s="159" t="n"/>
      <c r="I102" s="159" t="n"/>
      <c r="J102" s="155" t="n"/>
      <c r="K102" s="155" t="n"/>
      <c r="L102" s="155" t="n"/>
      <c r="M102" s="155" t="n"/>
      <c r="N102" s="155" t="n"/>
    </row>
    <row r="103" ht="15" customHeight="1" s="76">
      <c r="A103" s="161" t="n"/>
      <c r="B103" s="162" t="n"/>
      <c r="C103" s="162" t="n"/>
      <c r="D103" s="162" t="n"/>
      <c r="E103" s="162" t="n"/>
      <c r="F103" s="162" t="n"/>
      <c r="G103" s="163" t="n"/>
      <c r="H103" s="162" t="n"/>
      <c r="I103" s="162" t="n"/>
      <c r="J103" s="155" t="n"/>
      <c r="K103" s="155" t="n"/>
      <c r="L103" s="155" t="n"/>
      <c r="M103" s="155" t="n"/>
      <c r="N103" s="155" t="n"/>
    </row>
    <row r="104" ht="15" customHeight="1" s="76">
      <c r="A104" s="164" t="inlineStr">
        <is>
          <t>TOTAL GENERAL</t>
        </is>
      </c>
      <c r="B104" s="183" t="n"/>
      <c r="C104" s="183" t="n"/>
      <c r="D104" s="183" t="n"/>
      <c r="E104" s="183" t="n"/>
      <c r="F104" s="184" t="n"/>
      <c r="G104" s="165">
        <f>SUM(G4:G103)</f>
        <v/>
      </c>
      <c r="H104" s="166" t="n"/>
      <c r="I104" s="166" t="n"/>
      <c r="J104" s="155" t="n"/>
      <c r="K104" s="155" t="n"/>
      <c r="L104" s="155" t="n"/>
      <c r="M104" s="155" t="n"/>
      <c r="N104" s="155" t="n"/>
    </row>
  </sheetData>
  <mergeCells count="3">
    <mergeCell ref="A1:I1"/>
    <mergeCell ref="A104:F104"/>
    <mergeCell ref="A2:I2"/>
  </mergeCells>
  <dataValidations count="3">
    <dataValidation sqref="C4:C103" showDropDown="0" showInputMessage="0" showErrorMessage="0" allowBlank="1" type="list">
      <formula1>"Droga veterinaria,Insumos,Mano de obra,Equipos y mantenimiento,Víveres y mercado,Locativos,Servicios públicos,Otros"</formula1>
    </dataValidation>
    <dataValidation sqref="E4:E103" showDropDown="0" showInputMessage="0" showErrorMessage="0" allowBlank="1" type="list">
      <formula1>"Palosolo,El Japón y San José,Otra"</formula1>
    </dataValidation>
    <dataValidation sqref="H4:H103" showDropDown="0" showInputMessage="0" showErrorMessage="0" allowBlank="1" type="list">
      <formula1>"Sofía Vargas,Eufracio Vargas"</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1565C0"/>
    <outlinePr summaryBelow="1" summaryRight="1"/>
    <pageSetUpPr fitToPage="0"/>
  </sheetPr>
  <dimension ref="A1:G2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75" min="1" max="1"/>
    <col width="18" customWidth="1" style="75" min="2" max="2"/>
    <col width="12" customWidth="1" style="75" min="3" max="3"/>
    <col width="18" customWidth="1" style="75" min="4" max="4"/>
    <col width="12" customWidth="1" style="75" min="5" max="5"/>
    <col width="14" customWidth="1" style="75" min="6" max="6"/>
    <col width="16" customWidth="1" style="75" min="7" max="7"/>
  </cols>
  <sheetData>
    <row r="1" ht="28" customHeight="1" s="76">
      <c r="A1" s="167" t="inlineStr">
        <is>
          <t>RESUMEN DE GASTOS POR CATEGORÍA</t>
        </is>
      </c>
    </row>
    <row r="2" ht="20" customHeight="1" s="76">
      <c r="A2" s="200" t="inlineStr">
        <is>
          <t>Filtrar por Finca:</t>
        </is>
      </c>
      <c r="B2" s="201" t="inlineStr">
        <is>
          <t>Todas</t>
        </is>
      </c>
      <c r="C2" s="202" t="inlineStr">
        <is>
          <t>← Seleccionar finca o 'Todas'</t>
        </is>
      </c>
      <c r="D2" s="155" t="n"/>
      <c r="E2" s="155" t="n"/>
      <c r="F2" s="155" t="n"/>
      <c r="G2" s="155" t="n"/>
    </row>
    <row r="3" ht="20" customHeight="1" s="76">
      <c r="A3" s="155" t="inlineStr">
        <is>
          <t>Fecha Inicio (rango):</t>
        </is>
      </c>
      <c r="B3" s="207" t="n"/>
      <c r="C3" s="202" t="inlineStr">
        <is>
          <t>← Clic en la celda y usa el selector de fecha</t>
        </is>
      </c>
      <c r="D3" s="155" t="n"/>
      <c r="E3" s="155" t="n"/>
      <c r="F3" s="155" t="n"/>
      <c r="G3" s="155" t="n"/>
    </row>
    <row r="4" ht="20" customHeight="1" s="76">
      <c r="A4" s="155" t="inlineStr">
        <is>
          <t>Fecha Fin (rango):</t>
        </is>
      </c>
      <c r="B4" s="207" t="n"/>
      <c r="C4" s="202" t="inlineStr">
        <is>
          <t>← Clic en la celda y usa el selector de fecha</t>
        </is>
      </c>
      <c r="D4" s="155" t="n"/>
      <c r="E4" s="155" t="n"/>
      <c r="F4" s="155" t="n"/>
      <c r="G4" s="155" t="n"/>
    </row>
    <row r="5">
      <c r="A5" s="155" t="n"/>
      <c r="B5" s="155" t="n"/>
      <c r="C5" s="155" t="n"/>
      <c r="D5" s="155" t="n"/>
      <c r="E5" s="155" t="n"/>
      <c r="F5" s="155" t="n"/>
      <c r="G5" s="155" t="n"/>
    </row>
    <row r="6" ht="22" customHeight="1" s="76">
      <c r="A6" s="204" t="inlineStr">
        <is>
          <t>📅 MES ACTUAL</t>
        </is>
      </c>
    </row>
    <row r="7" ht="26" customHeight="1" s="76">
      <c r="A7" s="157" t="inlineStr">
        <is>
          <t>Categoría</t>
        </is>
      </c>
      <c r="B7" s="157" t="inlineStr">
        <is>
          <t>Total ($COP)</t>
        </is>
      </c>
      <c r="C7" s="157" t="inlineStr">
        <is>
          <t>% del Total</t>
        </is>
      </c>
      <c r="D7" s="157" t="inlineStr">
        <is>
          <t>vs Presupuesto ($)</t>
        </is>
      </c>
      <c r="E7" s="157" t="inlineStr">
        <is>
          <t>Desv. %</t>
        </is>
      </c>
      <c r="F7" s="157" t="inlineStr">
        <is>
          <t>Nivel</t>
        </is>
      </c>
      <c r="G7" s="157" t="inlineStr">
        <is>
          <t>Finca</t>
        </is>
      </c>
    </row>
    <row r="8" ht="15" customHeight="1" s="76">
      <c r="A8" s="171" t="inlineStr">
        <is>
          <t>Droga veterinaria</t>
        </is>
      </c>
      <c r="B8" s="173">
        <f>SUMPRODUCT(('Registro de Gastos'!C4:C103=A8)*(IFERROR(MONTH('Registro de Gastos'!A4:A103),0)=MONTH(TODAY()))*(IFERROR(YEAR('Registro de Gastos'!A4:A103),0)=YEAR(TODAY()))*((B$2="Todas")+('Registro de Gastos'!E4:E103=B$2)&gt;0)*'Registro de Gastos'!G4:G103)</f>
        <v/>
      </c>
      <c r="C8" s="174">
        <f>IF(B17=0,"-",B8/B17)</f>
        <v/>
      </c>
      <c r="D8" s="173">
        <f>B8-Presupuesto!B4</f>
        <v/>
      </c>
      <c r="E8" s="174">
        <f>IF(Presupuesto!B4=0,"-",B8/Presupuesto!B4-1)</f>
        <v/>
      </c>
      <c r="F8" s="175">
        <f>IF(C8="-","-",IF(C8&gt;0.35,"🔴 Alto",IF(C8&gt;0.15,"🟡 Medio","🟢 Bajo")))</f>
        <v/>
      </c>
      <c r="G8" s="194">
        <f>B$2</f>
        <v/>
      </c>
    </row>
    <row r="9" ht="15" customHeight="1" s="76">
      <c r="A9" s="176" t="inlineStr">
        <is>
          <t>Insumos</t>
        </is>
      </c>
      <c r="B9" s="178">
        <f>SUMPRODUCT(('Registro de Gastos'!C4:C103=A9)*(IFERROR(MONTH('Registro de Gastos'!A4:A103),0)=MONTH(TODAY()))*(IFERROR(YEAR('Registro de Gastos'!A4:A103),0)=YEAR(TODAY()))*((B$2="Todas")+('Registro de Gastos'!E4:E103=B$2)&gt;0)*'Registro de Gastos'!G4:G103)</f>
        <v/>
      </c>
      <c r="C9" s="179">
        <f>IF(B17=0,"-",B9/B17)</f>
        <v/>
      </c>
      <c r="D9" s="178">
        <f>B9-Presupuesto!B5</f>
        <v/>
      </c>
      <c r="E9" s="179">
        <f>IF(Presupuesto!B5=0,"-",B9/Presupuesto!B5-1)</f>
        <v/>
      </c>
      <c r="F9" s="180">
        <f>IF(C9="-","-",IF(C9&gt;0.35,"🔴 Alto",IF(C9&gt;0.15,"🟡 Medio","🟢 Bajo")))</f>
        <v/>
      </c>
      <c r="G9" s="197">
        <f>B$2</f>
        <v/>
      </c>
    </row>
    <row r="10" ht="15" customHeight="1" s="76">
      <c r="A10" s="171" t="inlineStr">
        <is>
          <t>Mano de obra</t>
        </is>
      </c>
      <c r="B10" s="173">
        <f>SUMPRODUCT(('Registro de Gastos'!C4:C103=A10)*(IFERROR(MONTH('Registro de Gastos'!A4:A103),0)=MONTH(TODAY()))*(IFERROR(YEAR('Registro de Gastos'!A4:A103),0)=YEAR(TODAY()))*((B$2="Todas")+('Registro de Gastos'!E4:E103=B$2)&gt;0)*'Registro de Gastos'!G4:G103)</f>
        <v/>
      </c>
      <c r="C10" s="174">
        <f>IF(B17=0,"-",B10/B17)</f>
        <v/>
      </c>
      <c r="D10" s="173">
        <f>B10-Presupuesto!B6</f>
        <v/>
      </c>
      <c r="E10" s="174">
        <f>IF(Presupuesto!B6=0,"-",B10/Presupuesto!B6-1)</f>
        <v/>
      </c>
      <c r="F10" s="175">
        <f>IF(C10="-","-",IF(C10&gt;0.35,"🔴 Alto",IF(C10&gt;0.15,"🟡 Medio","🟢 Bajo")))</f>
        <v/>
      </c>
      <c r="G10" s="194">
        <f>B$2</f>
        <v/>
      </c>
    </row>
    <row r="11" ht="15" customHeight="1" s="76">
      <c r="A11" s="176" t="inlineStr">
        <is>
          <t>Equipos y mantenimiento</t>
        </is>
      </c>
      <c r="B11" s="178">
        <f>SUMPRODUCT(('Registro de Gastos'!C4:C103=A11)*(IFERROR(MONTH('Registro de Gastos'!A4:A103),0)=MONTH(TODAY()))*(IFERROR(YEAR('Registro de Gastos'!A4:A103),0)=YEAR(TODAY()))*((B$2="Todas")+('Registro de Gastos'!E4:E103=B$2)&gt;0)*'Registro de Gastos'!G4:G103)</f>
        <v/>
      </c>
      <c r="C11" s="179">
        <f>IF(B17=0,"-",B11/B17)</f>
        <v/>
      </c>
      <c r="D11" s="178">
        <f>B11-Presupuesto!B7</f>
        <v/>
      </c>
      <c r="E11" s="179">
        <f>IF(Presupuesto!B7=0,"-",B11/Presupuesto!B7-1)</f>
        <v/>
      </c>
      <c r="F11" s="180">
        <f>IF(C11="-","-",IF(C11&gt;0.35,"🔴 Alto",IF(C11&gt;0.15,"🟡 Medio","🟢 Bajo")))</f>
        <v/>
      </c>
      <c r="G11" s="197">
        <f>B$2</f>
        <v/>
      </c>
    </row>
    <row r="12" ht="15" customHeight="1" s="76">
      <c r="A12" s="171" t="inlineStr">
        <is>
          <t>Transporte</t>
        </is>
      </c>
      <c r="B12" s="173">
        <f>SUMPRODUCT(('Registro de Gastos'!C4:C103=A12)*(IFERROR(MONTH('Registro de Gastos'!A4:A103),0)=MONTH(TODAY()))*(IFERROR(YEAR('Registro de Gastos'!A4:A103),0)=YEAR(TODAY()))*((B$2="Todas")+('Registro de Gastos'!E4:E103=B$2)&gt;0)*'Registro de Gastos'!G4:G103)</f>
        <v/>
      </c>
      <c r="C12" s="174">
        <f>IF(B17=0,"-",B12/B17)</f>
        <v/>
      </c>
      <c r="D12" s="173">
        <f>B12-Presupuesto!B8</f>
        <v/>
      </c>
      <c r="E12" s="174">
        <f>IF(Presupuesto!B8=0,"-",B12/Presupuesto!B8-1)</f>
        <v/>
      </c>
      <c r="F12" s="175">
        <f>IF(C12="-","-",IF(C12&gt;0.35,"🔴 Alto",IF(C12&gt;0.15,"🟡 Medio","🟢 Bajo")))</f>
        <v/>
      </c>
      <c r="G12" s="194">
        <f>B$2</f>
        <v/>
      </c>
    </row>
    <row r="13" ht="15" customHeight="1" s="76">
      <c r="A13" s="176" t="inlineStr">
        <is>
          <t>Víveres y mercado</t>
        </is>
      </c>
      <c r="B13" s="178">
        <f>SUMPRODUCT(('Registro de Gastos'!C4:C103=A13)*(IFERROR(MONTH('Registro de Gastos'!A4:A103),0)=MONTH(TODAY()))*(IFERROR(YEAR('Registro de Gastos'!A4:A103),0)=YEAR(TODAY()))*((B$2="Todas")+('Registro de Gastos'!E4:E103=B$2)&gt;0)*'Registro de Gastos'!G4:G103)</f>
        <v/>
      </c>
      <c r="C13" s="179">
        <f>IF(B17=0,"-",B13/B17)</f>
        <v/>
      </c>
      <c r="D13" s="178">
        <f>B13-Presupuesto!B9</f>
        <v/>
      </c>
      <c r="E13" s="179">
        <f>IF(Presupuesto!B9=0,"-",B13/Presupuesto!B9-1)</f>
        <v/>
      </c>
      <c r="F13" s="180">
        <f>IF(C13="-","-",IF(C13&gt;0.35,"🔴 Alto",IF(C13&gt;0.15,"🟡 Medio","🟢 Bajo")))</f>
        <v/>
      </c>
      <c r="G13" s="197">
        <f>B$2</f>
        <v/>
      </c>
    </row>
    <row r="14" ht="15" customHeight="1" s="76">
      <c r="A14" s="171" t="inlineStr">
        <is>
          <t>Locativos</t>
        </is>
      </c>
      <c r="B14" s="173">
        <f>SUMPRODUCT(('Registro de Gastos'!C4:C103=A14)*(IFERROR(MONTH('Registro de Gastos'!A4:A103),0)=MONTH(TODAY()))*(IFERROR(YEAR('Registro de Gastos'!A4:A103),0)=YEAR(TODAY()))*((B$2="Todas")+('Registro de Gastos'!E4:E103=B$2)&gt;0)*'Registro de Gastos'!G4:G103)</f>
        <v/>
      </c>
      <c r="C14" s="174">
        <f>IF(B17=0,"-",B14/B17)</f>
        <v/>
      </c>
      <c r="D14" s="173">
        <f>B14-Presupuesto!B10</f>
        <v/>
      </c>
      <c r="E14" s="174">
        <f>IF(Presupuesto!B10=0,"-",B14/Presupuesto!B10-1)</f>
        <v/>
      </c>
      <c r="F14" s="175">
        <f>IF(C14="-","-",IF(C14&gt;0.35,"🔴 Alto",IF(C14&gt;0.15,"🟡 Medio","🟢 Bajo")))</f>
        <v/>
      </c>
      <c r="G14" s="194">
        <f>B$2</f>
        <v/>
      </c>
    </row>
    <row r="15" ht="15" customHeight="1" s="76">
      <c r="A15" s="176" t="inlineStr">
        <is>
          <t>Servicios públicos</t>
        </is>
      </c>
      <c r="B15" s="178">
        <f>SUMPRODUCT(('Registro de Gastos'!C4:C103=A15)*(IFERROR(MONTH('Registro de Gastos'!A4:A103),0)=MONTH(TODAY()))*(IFERROR(YEAR('Registro de Gastos'!A4:A103),0)=YEAR(TODAY()))*((B$2="Todas")+('Registro de Gastos'!E4:E103=B$2)&gt;0)*'Registro de Gastos'!G4:G103)</f>
        <v/>
      </c>
      <c r="C15" s="179">
        <f>IF(B17=0,"-",B15/B17)</f>
        <v/>
      </c>
      <c r="D15" s="178">
        <f>B15-Presupuesto!B11</f>
        <v/>
      </c>
      <c r="E15" s="179">
        <f>IF(Presupuesto!B11=0,"-",B15/Presupuesto!B11-1)</f>
        <v/>
      </c>
      <c r="F15" s="180">
        <f>IF(C15="-","-",IF(C15&gt;0.35,"🔴 Alto",IF(C15&gt;0.15,"🟡 Medio","🟢 Bajo")))</f>
        <v/>
      </c>
      <c r="G15" s="197">
        <f>B$2</f>
        <v/>
      </c>
    </row>
    <row r="16" ht="15" customHeight="1" s="76">
      <c r="A16" s="171" t="inlineStr">
        <is>
          <t>Otros</t>
        </is>
      </c>
      <c r="B16" s="173">
        <f>SUMPRODUCT(('Registro de Gastos'!C4:C103=A16)*(IFERROR(MONTH('Registro de Gastos'!A4:A103),0)=MONTH(TODAY()))*(IFERROR(YEAR('Registro de Gastos'!A4:A103),0)=YEAR(TODAY()))*((B$2="Todas")+('Registro de Gastos'!E4:E103=B$2)&gt;0)*'Registro de Gastos'!G4:G103)</f>
        <v/>
      </c>
      <c r="C16" s="174">
        <f>IF(B17=0,"-",B16/B17)</f>
        <v/>
      </c>
      <c r="D16" s="173">
        <f>B16-Presupuesto!B12</f>
        <v/>
      </c>
      <c r="E16" s="174">
        <f>IF(Presupuesto!B12=0,"-",B16/Presupuesto!B12-1)</f>
        <v/>
      </c>
      <c r="F16" s="175">
        <f>IF(C16="-","-",IF(C16&gt;0.35,"🔴 Alto",IF(C16&gt;0.15,"🟡 Medio","🟢 Bajo")))</f>
        <v/>
      </c>
      <c r="G16" s="194">
        <f>B$2</f>
        <v/>
      </c>
    </row>
    <row r="17">
      <c r="A17" s="157" t="inlineStr">
        <is>
          <t>TOTAL</t>
        </is>
      </c>
      <c r="B17" s="181">
        <f>SUM(B8:B16)</f>
        <v/>
      </c>
      <c r="C17" s="157" t="n"/>
      <c r="D17" s="157" t="n"/>
      <c r="E17" s="157" t="n"/>
      <c r="F17" s="157" t="n"/>
      <c r="G17" s="157" t="n"/>
    </row>
    <row r="18" ht="21.75" customHeight="1" s="76">
      <c r="A18" s="155" t="n"/>
      <c r="B18" s="155" t="n"/>
      <c r="C18" s="155" t="n"/>
      <c r="D18" s="155" t="n"/>
      <c r="E18" s="155" t="n"/>
      <c r="F18" s="155" t="n"/>
      <c r="G18" s="155" t="n"/>
    </row>
    <row r="19" ht="22" customHeight="1" s="76">
      <c r="A19" s="205" t="inlineStr">
        <is>
          <t>📆 ACUMULADO AÑO</t>
        </is>
      </c>
    </row>
    <row r="20" ht="26" customHeight="1" s="76">
      <c r="A20" s="157" t="inlineStr">
        <is>
          <t>Categoría</t>
        </is>
      </c>
      <c r="B20" s="157" t="inlineStr">
        <is>
          <t>Total ($COP)</t>
        </is>
      </c>
      <c r="C20" s="157" t="inlineStr">
        <is>
          <t>% del Total</t>
        </is>
      </c>
      <c r="D20" s="157" t="inlineStr">
        <is>
          <t>vs Presupuesto ($)</t>
        </is>
      </c>
      <c r="E20" s="157" t="inlineStr">
        <is>
          <t>Desv. %</t>
        </is>
      </c>
      <c r="F20" s="157" t="inlineStr">
        <is>
          <t>Nivel</t>
        </is>
      </c>
      <c r="G20" s="157" t="inlineStr">
        <is>
          <t>Finca</t>
        </is>
      </c>
    </row>
    <row r="21" ht="15" customHeight="1" s="76">
      <c r="A21" s="176" t="inlineStr">
        <is>
          <t>Droga veterinaria</t>
        </is>
      </c>
      <c r="B21" s="178">
        <f>SUMPRODUCT(('Registro de Gastos'!C4:C103=A21)*(IFERROR(YEAR('Registro de Gastos'!A4:A103),0)=YEAR(TODAY()))*((B$2="Todas")+('Registro de Gastos'!E4:E103=B$2)&gt;0)*'Registro de Gastos'!G4:G103)</f>
        <v/>
      </c>
      <c r="C21" s="179">
        <f>IF(B30=0,"-",B21/B30)</f>
        <v/>
      </c>
      <c r="D21" s="176" t="inlineStr">
        <is>
          <t>—</t>
        </is>
      </c>
      <c r="E21" s="176" t="inlineStr">
        <is>
          <t>—</t>
        </is>
      </c>
      <c r="F21" s="180">
        <f>IF(C21="-","-",IF(C21&gt;0.35,"🔴 Alto",IF(C21&gt;0.15,"🟡 Medio","🟢 Bajo")))</f>
        <v/>
      </c>
      <c r="G21" s="197">
        <f>B$2</f>
        <v/>
      </c>
    </row>
    <row r="22" ht="15" customHeight="1" s="76">
      <c r="A22" s="171" t="inlineStr">
        <is>
          <t>Insumos</t>
        </is>
      </c>
      <c r="B22" s="173">
        <f>SUMPRODUCT(('Registro de Gastos'!C4:C103=A22)*(IFERROR(YEAR('Registro de Gastos'!A4:A103),0)=YEAR(TODAY()))*((B$2="Todas")+('Registro de Gastos'!E4:E103=B$2)&gt;0)*'Registro de Gastos'!G4:G103)</f>
        <v/>
      </c>
      <c r="C22" s="174">
        <f>IF(B30=0,"-",B22/B30)</f>
        <v/>
      </c>
      <c r="D22" s="171" t="inlineStr">
        <is>
          <t>—</t>
        </is>
      </c>
      <c r="E22" s="171" t="inlineStr">
        <is>
          <t>—</t>
        </is>
      </c>
      <c r="F22" s="175">
        <f>IF(C22="-","-",IF(C22&gt;0.35,"🔴 Alto",IF(C22&gt;0.15,"🟡 Medio","🟢 Bajo")))</f>
        <v/>
      </c>
      <c r="G22" s="194">
        <f>B$2</f>
        <v/>
      </c>
    </row>
    <row r="23" ht="15" customHeight="1" s="76">
      <c r="A23" s="176" t="inlineStr">
        <is>
          <t>Mano de obra</t>
        </is>
      </c>
      <c r="B23" s="178">
        <f>SUMPRODUCT(('Registro de Gastos'!C4:C103=A23)*(IFERROR(YEAR('Registro de Gastos'!A4:A103),0)=YEAR(TODAY()))*((B$2="Todas")+('Registro de Gastos'!E4:E103=B$2)&gt;0)*'Registro de Gastos'!G4:G103)</f>
        <v/>
      </c>
      <c r="C23" s="179">
        <f>IF(B30=0,"-",B23/B30)</f>
        <v/>
      </c>
      <c r="D23" s="176" t="inlineStr">
        <is>
          <t>—</t>
        </is>
      </c>
      <c r="E23" s="176" t="inlineStr">
        <is>
          <t>—</t>
        </is>
      </c>
      <c r="F23" s="180">
        <f>IF(C23="-","-",IF(C23&gt;0.35,"🔴 Alto",IF(C23&gt;0.15,"🟡 Medio","🟢 Bajo")))</f>
        <v/>
      </c>
      <c r="G23" s="197">
        <f>B$2</f>
        <v/>
      </c>
    </row>
    <row r="24" ht="15" customHeight="1" s="76">
      <c r="A24" s="171" t="inlineStr">
        <is>
          <t>Equipos y mantenimiento</t>
        </is>
      </c>
      <c r="B24" s="173">
        <f>SUMPRODUCT(('Registro de Gastos'!C4:C103=A24)*(IFERROR(YEAR('Registro de Gastos'!A4:A103),0)=YEAR(TODAY()))*((B$2="Todas")+('Registro de Gastos'!E4:E103=B$2)&gt;0)*'Registro de Gastos'!G4:G103)</f>
        <v/>
      </c>
      <c r="C24" s="174">
        <f>IF(B30=0,"-",B24/B30)</f>
        <v/>
      </c>
      <c r="D24" s="171" t="inlineStr">
        <is>
          <t>—</t>
        </is>
      </c>
      <c r="E24" s="171" t="inlineStr">
        <is>
          <t>—</t>
        </is>
      </c>
      <c r="F24" s="175">
        <f>IF(C24="-","-",IF(C24&gt;0.35,"🔴 Alto",IF(C24&gt;0.15,"🟡 Medio","🟢 Bajo")))</f>
        <v/>
      </c>
      <c r="G24" s="194">
        <f>B$2</f>
        <v/>
      </c>
    </row>
    <row r="25" ht="15" customHeight="1" s="76">
      <c r="A25" s="176" t="inlineStr">
        <is>
          <t>Transporte</t>
        </is>
      </c>
      <c r="B25" s="178">
        <f>SUMPRODUCT(('Registro de Gastos'!C4:C103=A25)*(IFERROR(YEAR('Registro de Gastos'!A4:A103),0)=YEAR(TODAY()))*((B$2="Todas")+('Registro de Gastos'!E4:E103=B$2)&gt;0)*'Registro de Gastos'!G4:G103)</f>
        <v/>
      </c>
      <c r="C25" s="179">
        <f>IF(B30=0,"-",B25/B30)</f>
        <v/>
      </c>
      <c r="D25" s="176" t="inlineStr">
        <is>
          <t>—</t>
        </is>
      </c>
      <c r="E25" s="176" t="inlineStr">
        <is>
          <t>—</t>
        </is>
      </c>
      <c r="F25" s="180">
        <f>IF(C25="-","-",IF(C25&gt;0.35,"🔴 Alto",IF(C25&gt;0.15,"🟡 Medio","🟢 Bajo")))</f>
        <v/>
      </c>
      <c r="G25" s="197">
        <f>B$2</f>
        <v/>
      </c>
    </row>
    <row r="26" ht="15" customHeight="1" s="76">
      <c r="A26" s="171" t="inlineStr">
        <is>
          <t>Víveres y mercado</t>
        </is>
      </c>
      <c r="B26" s="173">
        <f>SUMPRODUCT(('Registro de Gastos'!C4:C103=A26)*(IFERROR(YEAR('Registro de Gastos'!A4:A103),0)=YEAR(TODAY()))*((B$2="Todas")+('Registro de Gastos'!E4:E103=B$2)&gt;0)*'Registro de Gastos'!G4:G103)</f>
        <v/>
      </c>
      <c r="C26" s="174">
        <f>IF(B30=0,"-",B26/B30)</f>
        <v/>
      </c>
      <c r="D26" s="171" t="inlineStr">
        <is>
          <t>—</t>
        </is>
      </c>
      <c r="E26" s="171" t="inlineStr">
        <is>
          <t>—</t>
        </is>
      </c>
      <c r="F26" s="175">
        <f>IF(C26="-","-",IF(C26&gt;0.35,"🔴 Alto",IF(C26&gt;0.15,"🟡 Medio","🟢 Bajo")))</f>
        <v/>
      </c>
      <c r="G26" s="194">
        <f>B$2</f>
        <v/>
      </c>
    </row>
    <row r="27" ht="15" customHeight="1" s="76">
      <c r="A27" s="176" t="inlineStr">
        <is>
          <t>Locativos</t>
        </is>
      </c>
      <c r="B27" s="178">
        <f>SUMPRODUCT(('Registro de Gastos'!C4:C103=A27)*(IFERROR(YEAR('Registro de Gastos'!A4:A103),0)=YEAR(TODAY()))*((B$2="Todas")+('Registro de Gastos'!E4:E103=B$2)&gt;0)*'Registro de Gastos'!G4:G103)</f>
        <v/>
      </c>
      <c r="C27" s="179">
        <f>IF(B30=0,"-",B27/B30)</f>
        <v/>
      </c>
      <c r="D27" s="176" t="inlineStr">
        <is>
          <t>—</t>
        </is>
      </c>
      <c r="E27" s="176" t="inlineStr">
        <is>
          <t>—</t>
        </is>
      </c>
      <c r="F27" s="180">
        <f>IF(C27="-","-",IF(C27&gt;0.35,"🔴 Alto",IF(C27&gt;0.15,"🟡 Medio","🟢 Bajo")))</f>
        <v/>
      </c>
      <c r="G27" s="197">
        <f>B$2</f>
        <v/>
      </c>
    </row>
    <row r="28" ht="15" customHeight="1" s="76">
      <c r="A28" s="171" t="inlineStr">
        <is>
          <t>Servicios públicos</t>
        </is>
      </c>
      <c r="B28" s="173">
        <f>SUMPRODUCT(('Registro de Gastos'!C4:C103=A28)*(IFERROR(YEAR('Registro de Gastos'!A4:A103),0)=YEAR(TODAY()))*((B$2="Todas")+('Registro de Gastos'!E4:E103=B$2)&gt;0)*'Registro de Gastos'!G4:G103)</f>
        <v/>
      </c>
      <c r="C28" s="174">
        <f>IF(B30=0,"-",B28/B30)</f>
        <v/>
      </c>
      <c r="D28" s="171" t="inlineStr">
        <is>
          <t>—</t>
        </is>
      </c>
      <c r="E28" s="171" t="inlineStr">
        <is>
          <t>—</t>
        </is>
      </c>
      <c r="F28" s="175">
        <f>IF(C28="-","-",IF(C28&gt;0.35,"🔴 Alto",IF(C28&gt;0.15,"🟡 Medio","🟢 Bajo")))</f>
        <v/>
      </c>
      <c r="G28" s="194">
        <f>B$2</f>
        <v/>
      </c>
    </row>
    <row r="29">
      <c r="A29" s="176" t="inlineStr">
        <is>
          <t>Otros</t>
        </is>
      </c>
      <c r="B29" s="178">
        <f>SUMPRODUCT(('Registro de Gastos'!C4:C103=A29)*(IFERROR(YEAR('Registro de Gastos'!A4:A103),0)=YEAR(TODAY()))*((B$2="Todas")+('Registro de Gastos'!E4:E103=B$2)&gt;0)*'Registro de Gastos'!G4:G103)</f>
        <v/>
      </c>
      <c r="C29" s="179">
        <f>IF(B30=0,"-",B29/B30)</f>
        <v/>
      </c>
      <c r="D29" s="176" t="inlineStr">
        <is>
          <t>—</t>
        </is>
      </c>
      <c r="E29" s="176" t="inlineStr">
        <is>
          <t>—</t>
        </is>
      </c>
      <c r="F29" s="180">
        <f>IF(C29="-","-",IF(C29&gt;0.35,"🔴 Alto",IF(C29&gt;0.15,"🟡 Medio","🟢 Bajo")))</f>
        <v/>
      </c>
      <c r="G29" s="197">
        <f>B$2</f>
        <v/>
      </c>
    </row>
    <row r="30" ht="21.75" customHeight="1" s="76">
      <c r="A30" s="157" t="inlineStr">
        <is>
          <t>TOTAL</t>
        </is>
      </c>
      <c r="B30" s="181">
        <f>SUM(B21:B29)</f>
        <v/>
      </c>
      <c r="C30" s="157" t="n"/>
      <c r="D30" s="157" t="n"/>
      <c r="E30" s="157" t="n"/>
      <c r="F30" s="157" t="n"/>
      <c r="G30" s="157" t="n"/>
    </row>
    <row r="31" ht="25.5" customHeight="1" s="76">
      <c r="A31" s="155" t="n"/>
      <c r="B31" s="155" t="n"/>
      <c r="C31" s="155" t="n"/>
      <c r="D31" s="155" t="n"/>
      <c r="E31" s="155" t="n"/>
      <c r="F31" s="155" t="n"/>
      <c r="G31" s="155" t="n"/>
    </row>
    <row r="32" ht="22" customHeight="1" s="76">
      <c r="A32" s="206" t="inlineStr">
        <is>
          <t>🗓 RANGO PERSONALIZADO (fechas en B3:B4)</t>
        </is>
      </c>
    </row>
    <row r="33" ht="26" customHeight="1" s="76">
      <c r="A33" s="157" t="inlineStr">
        <is>
          <t>Categoría</t>
        </is>
      </c>
      <c r="B33" s="157" t="inlineStr">
        <is>
          <t>Total ($COP)</t>
        </is>
      </c>
      <c r="C33" s="157" t="inlineStr">
        <is>
          <t>% del Total</t>
        </is>
      </c>
      <c r="D33" s="157" t="inlineStr">
        <is>
          <t>vs Presupuesto ($)</t>
        </is>
      </c>
      <c r="E33" s="157" t="inlineStr">
        <is>
          <t>Desv. %</t>
        </is>
      </c>
      <c r="F33" s="157" t="inlineStr">
        <is>
          <t>Nivel</t>
        </is>
      </c>
      <c r="G33" s="157" t="inlineStr">
        <is>
          <t>Finca</t>
        </is>
      </c>
    </row>
    <row r="34" ht="15" customHeight="1" s="76">
      <c r="A34" s="171" t="inlineStr">
        <is>
          <t>Droga veterinaria</t>
        </is>
      </c>
      <c r="B34" s="173">
        <f>SUMPRODUCT(('Registro de Gastos'!C4:C103=A34)*('Registro de Gastos'!A4:A103&gt;=(IF(B$3="",DATE(1900,1,1),B$3)))*ISNUMBER('Registro de Gastos'!A4:A103)*('Registro de Gastos'!A4:A103&lt;=(IF(B$4="",TODAY(),B$4)))*((B$2="Todas")+('Registro de Gastos'!E4:E103=B$2)&gt;0)*'Registro de Gastos'!G4:G103)</f>
        <v/>
      </c>
      <c r="C34" s="174">
        <f>IF(B43=0,"-",B34/B43)</f>
        <v/>
      </c>
      <c r="D34" s="171" t="inlineStr">
        <is>
          <t>—</t>
        </is>
      </c>
      <c r="E34" s="171" t="inlineStr">
        <is>
          <t>—</t>
        </is>
      </c>
      <c r="F34" s="175">
        <f>IF(C34="-","-",IF(C34&gt;0.35,"🔴 Alto",IF(C34&gt;0.15,"🟡 Medio","🟢 Bajo")))</f>
        <v/>
      </c>
      <c r="G34" s="194">
        <f>B$2</f>
        <v/>
      </c>
    </row>
    <row r="35" ht="15" customHeight="1" s="76">
      <c r="A35" s="176" t="inlineStr">
        <is>
          <t>Insumos</t>
        </is>
      </c>
      <c r="B35" s="178">
        <f>SUMPRODUCT(('Registro de Gastos'!C4:C103=A35)*('Registro de Gastos'!A4:A103&gt;=(IF(B$3="",DATE(1900,1,1),B$3)))*ISNUMBER('Registro de Gastos'!A4:A103)*('Registro de Gastos'!A4:A103&lt;=(IF(B$4="",TODAY(),B$4)))*((B$2="Todas")+('Registro de Gastos'!E4:E103=B$2)&gt;0)*'Registro de Gastos'!G4:G103)</f>
        <v/>
      </c>
      <c r="C35" s="179">
        <f>IF(B43=0,"-",B35/B43)</f>
        <v/>
      </c>
      <c r="D35" s="176" t="inlineStr">
        <is>
          <t>—</t>
        </is>
      </c>
      <c r="E35" s="176" t="inlineStr">
        <is>
          <t>—</t>
        </is>
      </c>
      <c r="F35" s="180">
        <f>IF(C35="-","-",IF(C35&gt;0.35,"🔴 Alto",IF(C35&gt;0.15,"🟡 Medio","🟢 Bajo")))</f>
        <v/>
      </c>
      <c r="G35" s="197">
        <f>B$2</f>
        <v/>
      </c>
    </row>
    <row r="36" ht="15" customHeight="1" s="76">
      <c r="A36" s="171" t="inlineStr">
        <is>
          <t>Mano de obra</t>
        </is>
      </c>
      <c r="B36" s="173">
        <f>SUMPRODUCT(('Registro de Gastos'!C4:C103=A36)*('Registro de Gastos'!A4:A103&gt;=(IF(B$3="",DATE(1900,1,1),B$3)))*ISNUMBER('Registro de Gastos'!A4:A103)*('Registro de Gastos'!A4:A103&lt;=(IF(B$4="",TODAY(),B$4)))*((B$2="Todas")+('Registro de Gastos'!E4:E103=B$2)&gt;0)*'Registro de Gastos'!G4:G103)</f>
        <v/>
      </c>
      <c r="C36" s="174">
        <f>IF(B43=0,"-",B36/B43)</f>
        <v/>
      </c>
      <c r="D36" s="171" t="inlineStr">
        <is>
          <t>—</t>
        </is>
      </c>
      <c r="E36" s="171" t="inlineStr">
        <is>
          <t>—</t>
        </is>
      </c>
      <c r="F36" s="175">
        <f>IF(C36="-","-",IF(C36&gt;0.35,"🔴 Alto",IF(C36&gt;0.15,"🟡 Medio","🟢 Bajo")))</f>
        <v/>
      </c>
      <c r="G36" s="194">
        <f>B$2</f>
        <v/>
      </c>
    </row>
    <row r="37" ht="15" customHeight="1" s="76">
      <c r="A37" s="176" t="inlineStr">
        <is>
          <t>Equipos y mantenimiento</t>
        </is>
      </c>
      <c r="B37" s="178">
        <f>SUMPRODUCT(('Registro de Gastos'!C4:C103=A37)*('Registro de Gastos'!A4:A103&gt;=(IF(B$3="",DATE(1900,1,1),B$3)))*ISNUMBER('Registro de Gastos'!A4:A103)*('Registro de Gastos'!A4:A103&lt;=(IF(B$4="",TODAY(),B$4)))*((B$2="Todas")+('Registro de Gastos'!E4:E103=B$2)&gt;0)*'Registro de Gastos'!G4:G103)</f>
        <v/>
      </c>
      <c r="C37" s="179">
        <f>IF(B43=0,"-",B37/B43)</f>
        <v/>
      </c>
      <c r="D37" s="176" t="inlineStr">
        <is>
          <t>—</t>
        </is>
      </c>
      <c r="E37" s="176" t="inlineStr">
        <is>
          <t>—</t>
        </is>
      </c>
      <c r="F37" s="180">
        <f>IF(C37="-","-",IF(C37&gt;0.35,"🔴 Alto",IF(C37&gt;0.15,"🟡 Medio","🟢 Bajo")))</f>
        <v/>
      </c>
      <c r="G37" s="197">
        <f>B$2</f>
        <v/>
      </c>
    </row>
    <row r="38" ht="15" customHeight="1" s="76">
      <c r="A38" s="171" t="inlineStr">
        <is>
          <t>Transporte</t>
        </is>
      </c>
      <c r="B38" s="173">
        <f>SUMPRODUCT(('Registro de Gastos'!C4:C103=A38)*('Registro de Gastos'!A4:A103&gt;=(IF(B$3="",DATE(1900,1,1),B$3)))*ISNUMBER('Registro de Gastos'!A4:A103)*('Registro de Gastos'!A4:A103&lt;=(IF(B$4="",TODAY(),B$4)))*((B$2="Todas")+('Registro de Gastos'!E4:E103=B$2)&gt;0)*'Registro de Gastos'!G4:G103)</f>
        <v/>
      </c>
      <c r="C38" s="174">
        <f>IF(B43=0,"-",B38/B43)</f>
        <v/>
      </c>
      <c r="D38" s="171" t="inlineStr">
        <is>
          <t>—</t>
        </is>
      </c>
      <c r="E38" s="171" t="inlineStr">
        <is>
          <t>—</t>
        </is>
      </c>
      <c r="F38" s="175">
        <f>IF(C38="-","-",IF(C38&gt;0.35,"🔴 Alto",IF(C38&gt;0.15,"🟡 Medio","🟢 Bajo")))</f>
        <v/>
      </c>
      <c r="G38" s="194">
        <f>B$2</f>
        <v/>
      </c>
    </row>
    <row r="39" ht="15" customHeight="1" s="76">
      <c r="A39" s="176" t="inlineStr">
        <is>
          <t>Víveres y mercado</t>
        </is>
      </c>
      <c r="B39" s="178">
        <f>SUMPRODUCT(('Registro de Gastos'!C4:C103=A39)*('Registro de Gastos'!A4:A103&gt;=(IF(B$3="",DATE(1900,1,1),B$3)))*ISNUMBER('Registro de Gastos'!A4:A103)*('Registro de Gastos'!A4:A103&lt;=(IF(B$4="",TODAY(),B$4)))*((B$2="Todas")+('Registro de Gastos'!E4:E103=B$2)&gt;0)*'Registro de Gastos'!G4:G103)</f>
        <v/>
      </c>
      <c r="C39" s="179">
        <f>IF(B43=0,"-",B39/B43)</f>
        <v/>
      </c>
      <c r="D39" s="176" t="inlineStr">
        <is>
          <t>—</t>
        </is>
      </c>
      <c r="E39" s="176" t="inlineStr">
        <is>
          <t>—</t>
        </is>
      </c>
      <c r="F39" s="180">
        <f>IF(C39="-","-",IF(C39&gt;0.35,"🔴 Alto",IF(C39&gt;0.15,"🟡 Medio","🟢 Bajo")))</f>
        <v/>
      </c>
      <c r="G39" s="197">
        <f>B$2</f>
        <v/>
      </c>
    </row>
    <row r="40" ht="15" customHeight="1" s="76">
      <c r="A40" s="171" t="inlineStr">
        <is>
          <t>Locativos</t>
        </is>
      </c>
      <c r="B40" s="173">
        <f>SUMPRODUCT(('Registro de Gastos'!C4:C103=A40)*('Registro de Gastos'!A4:A103&gt;=(IF(B$3="",DATE(1900,1,1),B$3)))*ISNUMBER('Registro de Gastos'!A4:A103)*('Registro de Gastos'!A4:A103&lt;=(IF(B$4="",TODAY(),B$4)))*((B$2="Todas")+('Registro de Gastos'!E4:E103=B$2)&gt;0)*'Registro de Gastos'!G4:G103)</f>
        <v/>
      </c>
      <c r="C40" s="174">
        <f>IF(B43=0,"-",B40/B43)</f>
        <v/>
      </c>
      <c r="D40" s="171" t="inlineStr">
        <is>
          <t>—</t>
        </is>
      </c>
      <c r="E40" s="171" t="inlineStr">
        <is>
          <t>—</t>
        </is>
      </c>
      <c r="F40" s="175">
        <f>IF(C40="-","-",IF(C40&gt;0.35,"🔴 Alto",IF(C40&gt;0.15,"🟡 Medio","🟢 Bajo")))</f>
        <v/>
      </c>
      <c r="G40" s="194">
        <f>B$2</f>
        <v/>
      </c>
    </row>
    <row r="41">
      <c r="A41" s="176" t="inlineStr">
        <is>
          <t>Servicios públicos</t>
        </is>
      </c>
      <c r="B41" s="178">
        <f>SUMPRODUCT(('Registro de Gastos'!C4:C103=A41)*('Registro de Gastos'!A4:A103&gt;=(IF(B$3="",DATE(1900,1,1),B$3)))*ISNUMBER('Registro de Gastos'!A4:A103)*('Registro de Gastos'!A4:A103&lt;=(IF(B$4="",TODAY(),B$4)))*((B$2="Todas")+('Registro de Gastos'!E4:E103=B$2)&gt;0)*'Registro de Gastos'!G4:G103)</f>
        <v/>
      </c>
      <c r="C41" s="179">
        <f>IF(B43=0,"-",B41/B43)</f>
        <v/>
      </c>
      <c r="D41" s="176" t="inlineStr">
        <is>
          <t>—</t>
        </is>
      </c>
      <c r="E41" s="176" t="inlineStr">
        <is>
          <t>—</t>
        </is>
      </c>
      <c r="F41" s="180">
        <f>IF(C41="-","-",IF(C41&gt;0.35,"🔴 Alto",IF(C41&gt;0.15,"🟡 Medio","🟢 Bajo")))</f>
        <v/>
      </c>
      <c r="G41" s="197">
        <f>B$2</f>
        <v/>
      </c>
    </row>
    <row r="42">
      <c r="A42" s="171" t="inlineStr">
        <is>
          <t>Otros</t>
        </is>
      </c>
      <c r="B42" s="173">
        <f>SUMPRODUCT(('Registro de Gastos'!C4:C103=A42)*('Registro de Gastos'!A4:A103&gt;=(IF(B$3="",DATE(1900,1,1),B$3)))*ISNUMBER('Registro de Gastos'!A4:A103)*('Registro de Gastos'!A4:A103&lt;=(IF(B$4="",TODAY(),B$4)))*((B$2="Todas")+('Registro de Gastos'!E4:E103=B$2)&gt;0)*'Registro de Gastos'!G4:G103)</f>
        <v/>
      </c>
      <c r="C42" s="174">
        <f>IF(B43=0,"-",B42/B43)</f>
        <v/>
      </c>
      <c r="D42" s="171" t="inlineStr">
        <is>
          <t>—</t>
        </is>
      </c>
      <c r="E42" s="171" t="inlineStr">
        <is>
          <t>—</t>
        </is>
      </c>
      <c r="F42" s="175">
        <f>IF(C42="-","-",IF(C42&gt;0.35,"🔴 Alto",IF(C42&gt;0.15,"🟡 Medio","🟢 Bajo")))</f>
        <v/>
      </c>
      <c r="G42" s="194">
        <f>B$2</f>
        <v/>
      </c>
    </row>
    <row r="43">
      <c r="A43" s="157" t="inlineStr">
        <is>
          <t>TOTAL</t>
        </is>
      </c>
      <c r="B43" s="181">
        <f>SUM(B34:B42)</f>
        <v/>
      </c>
      <c r="C43" s="157" t="n"/>
      <c r="D43" s="157" t="n"/>
      <c r="E43" s="157" t="n"/>
      <c r="F43" s="157" t="n"/>
      <c r="G43" s="157" t="n"/>
    </row>
    <row r="44">
      <c r="A44" s="155" t="n"/>
      <c r="B44" s="155" t="n"/>
      <c r="C44" s="155" t="n"/>
      <c r="D44" s="155" t="n"/>
      <c r="E44" s="155" t="n"/>
      <c r="F44" s="155" t="n"/>
      <c r="G44" s="155" t="n"/>
    </row>
    <row r="45">
      <c r="A45" s="155" t="n"/>
      <c r="B45" s="155" t="n"/>
      <c r="C45" s="155" t="n"/>
      <c r="D45" s="155" t="n"/>
      <c r="E45" s="155" t="n"/>
      <c r="F45" s="155" t="n"/>
      <c r="G45" s="155" t="n"/>
    </row>
    <row r="46">
      <c r="A46" s="155" t="n"/>
      <c r="B46" s="155" t="n"/>
      <c r="C46" s="155" t="n"/>
      <c r="D46" s="155" t="n"/>
      <c r="E46" s="155" t="n"/>
      <c r="F46" s="155" t="n"/>
      <c r="G46" s="155" t="n"/>
    </row>
    <row r="47">
      <c r="A47" s="155" t="n"/>
      <c r="B47" s="155" t="n"/>
      <c r="C47" s="155" t="n"/>
      <c r="D47" s="155" t="n"/>
      <c r="E47" s="155" t="n"/>
      <c r="F47" s="155" t="n"/>
      <c r="G47" s="155" t="n"/>
    </row>
    <row r="48">
      <c r="A48" s="155" t="n"/>
      <c r="B48" s="155" t="n"/>
      <c r="C48" s="155" t="n"/>
      <c r="D48" s="155" t="n"/>
      <c r="E48" s="155" t="n"/>
      <c r="F48" s="155" t="n"/>
      <c r="G48" s="155" t="n"/>
    </row>
    <row r="49">
      <c r="A49" s="155" t="n"/>
      <c r="B49" s="155" t="n"/>
      <c r="C49" s="155" t="n"/>
      <c r="D49" s="155" t="n"/>
      <c r="E49" s="155" t="n"/>
      <c r="F49" s="155" t="n"/>
      <c r="G49" s="155" t="n"/>
    </row>
    <row r="50">
      <c r="A50" s="155" t="n"/>
      <c r="B50" s="155" t="n"/>
      <c r="C50" s="155" t="n"/>
      <c r="D50" s="155" t="n"/>
      <c r="E50" s="155" t="n"/>
      <c r="F50" s="155" t="n"/>
      <c r="G50" s="155" t="n"/>
    </row>
    <row r="51">
      <c r="A51" s="155" t="n"/>
      <c r="B51" s="155" t="n"/>
      <c r="C51" s="155" t="n"/>
      <c r="D51" s="155" t="n"/>
      <c r="E51" s="155" t="n"/>
      <c r="F51" s="155" t="n"/>
      <c r="G51" s="155" t="n"/>
    </row>
    <row r="52">
      <c r="A52" s="155" t="n"/>
      <c r="B52" s="155" t="n"/>
      <c r="C52" s="155" t="n"/>
      <c r="D52" s="155" t="n"/>
      <c r="E52" s="155" t="n"/>
      <c r="F52" s="155" t="n"/>
      <c r="G52" s="155" t="n"/>
    </row>
    <row r="53">
      <c r="A53" s="155" t="n"/>
      <c r="B53" s="155" t="n"/>
      <c r="C53" s="155" t="n"/>
      <c r="D53" s="155" t="n"/>
      <c r="E53" s="155" t="n"/>
      <c r="F53" s="155" t="n"/>
      <c r="G53" s="155" t="n"/>
    </row>
    <row r="54">
      <c r="A54" s="155" t="n"/>
      <c r="B54" s="155" t="n"/>
      <c r="C54" s="155" t="n"/>
      <c r="D54" s="155" t="n"/>
      <c r="E54" s="155" t="n"/>
      <c r="F54" s="155" t="n"/>
      <c r="G54" s="155" t="n"/>
    </row>
    <row r="55">
      <c r="A55" s="155" t="n"/>
      <c r="B55" s="155" t="n"/>
      <c r="C55" s="155" t="n"/>
      <c r="D55" s="155" t="n"/>
      <c r="E55" s="155" t="n"/>
      <c r="F55" s="155" t="n"/>
      <c r="G55" s="155" t="n"/>
    </row>
    <row r="56">
      <c r="A56" s="155" t="n"/>
      <c r="B56" s="155" t="n"/>
      <c r="C56" s="155" t="n"/>
      <c r="D56" s="155" t="n"/>
      <c r="E56" s="155" t="n"/>
      <c r="F56" s="155" t="n"/>
      <c r="G56" s="155" t="n"/>
    </row>
    <row r="57">
      <c r="A57" s="155" t="n"/>
      <c r="B57" s="155" t="n"/>
      <c r="C57" s="155" t="n"/>
      <c r="D57" s="155" t="n"/>
      <c r="E57" s="155" t="n"/>
      <c r="F57" s="155" t="n"/>
      <c r="G57" s="155" t="n"/>
    </row>
    <row r="58">
      <c r="A58" s="155" t="n"/>
      <c r="B58" s="155" t="n"/>
      <c r="C58" s="155" t="n"/>
      <c r="D58" s="155" t="n"/>
      <c r="E58" s="155" t="n"/>
      <c r="F58" s="155" t="n"/>
      <c r="G58" s="155" t="n"/>
    </row>
    <row r="59">
      <c r="A59" s="155" t="n"/>
      <c r="B59" s="155" t="n"/>
      <c r="C59" s="155" t="n"/>
      <c r="D59" s="155" t="n"/>
      <c r="E59" s="155" t="n"/>
      <c r="F59" s="155" t="n"/>
      <c r="G59" s="155" t="n"/>
    </row>
    <row r="60">
      <c r="A60" s="155" t="n"/>
      <c r="B60" s="155" t="n"/>
      <c r="C60" s="155" t="n"/>
      <c r="D60" s="155" t="n"/>
      <c r="E60" s="155" t="n"/>
      <c r="F60" s="155" t="n"/>
      <c r="G60" s="155" t="n"/>
    </row>
    <row r="61">
      <c r="A61" s="155" t="n"/>
      <c r="B61" s="155" t="n"/>
      <c r="C61" s="155" t="n"/>
      <c r="D61" s="155" t="n"/>
      <c r="E61" s="155" t="n"/>
      <c r="F61" s="155" t="n"/>
      <c r="G61" s="155" t="n"/>
    </row>
    <row r="62">
      <c r="A62" s="155" t="n"/>
      <c r="B62" s="155" t="n"/>
      <c r="C62" s="155" t="n"/>
      <c r="D62" s="155" t="n"/>
      <c r="E62" s="155" t="n"/>
      <c r="F62" s="155" t="n"/>
      <c r="G62" s="155" t="n"/>
    </row>
    <row r="63">
      <c r="A63" s="155" t="n"/>
      <c r="B63" s="155" t="n"/>
      <c r="C63" s="155" t="n"/>
      <c r="D63" s="155" t="n"/>
      <c r="E63" s="155" t="n"/>
      <c r="F63" s="155" t="n"/>
      <c r="G63" s="155" t="n"/>
    </row>
    <row r="64">
      <c r="A64" s="155" t="n"/>
      <c r="B64" s="155" t="n"/>
      <c r="C64" s="155" t="n"/>
      <c r="D64" s="155" t="n"/>
      <c r="E64" s="155" t="n"/>
      <c r="F64" s="155" t="n"/>
      <c r="G64" s="155" t="n"/>
    </row>
    <row r="65">
      <c r="A65" s="155" t="n"/>
      <c r="B65" s="155" t="n"/>
      <c r="C65" s="155" t="n"/>
      <c r="D65" s="155" t="n"/>
      <c r="E65" s="155" t="n"/>
      <c r="F65" s="155" t="n"/>
      <c r="G65" s="155" t="n"/>
    </row>
    <row r="66">
      <c r="A66" s="155" t="n"/>
      <c r="B66" s="155" t="n"/>
      <c r="C66" s="155" t="n"/>
      <c r="D66" s="155" t="n"/>
      <c r="E66" s="155" t="n"/>
      <c r="F66" s="155" t="n"/>
      <c r="G66" s="155" t="n"/>
    </row>
    <row r="67">
      <c r="A67" s="155" t="n"/>
      <c r="B67" s="155" t="n"/>
      <c r="C67" s="155" t="n"/>
      <c r="D67" s="155" t="n"/>
      <c r="E67" s="155" t="n"/>
      <c r="F67" s="155" t="n"/>
      <c r="G67" s="155" t="n"/>
    </row>
    <row r="68">
      <c r="A68" s="155" t="n"/>
      <c r="B68" s="155" t="n"/>
      <c r="C68" s="155" t="n"/>
      <c r="D68" s="155" t="n"/>
      <c r="E68" s="155" t="n"/>
      <c r="F68" s="155" t="n"/>
      <c r="G68" s="155" t="n"/>
    </row>
    <row r="69">
      <c r="A69" s="155" t="n"/>
      <c r="B69" s="155" t="n"/>
      <c r="C69" s="155" t="n"/>
      <c r="D69" s="155" t="n"/>
      <c r="E69" s="155" t="n"/>
      <c r="F69" s="155" t="n"/>
      <c r="G69" s="155" t="n"/>
    </row>
    <row r="70">
      <c r="A70" s="155" t="n"/>
      <c r="B70" s="155" t="n"/>
      <c r="C70" s="155" t="n"/>
      <c r="D70" s="155" t="n"/>
      <c r="E70" s="155" t="n"/>
      <c r="F70" s="155" t="n"/>
      <c r="G70" s="155" t="n"/>
    </row>
    <row r="71">
      <c r="A71" s="155" t="n"/>
      <c r="B71" s="155" t="n"/>
      <c r="C71" s="155" t="n"/>
      <c r="D71" s="155" t="n"/>
      <c r="E71" s="155" t="n"/>
      <c r="F71" s="155" t="n"/>
      <c r="G71" s="155" t="n"/>
    </row>
    <row r="72">
      <c r="A72" s="155" t="n"/>
      <c r="B72" s="155" t="n"/>
      <c r="C72" s="155" t="n"/>
      <c r="D72" s="155" t="n"/>
      <c r="E72" s="155" t="n"/>
      <c r="F72" s="155" t="n"/>
      <c r="G72" s="155" t="n"/>
    </row>
    <row r="73">
      <c r="A73" s="155" t="n"/>
      <c r="B73" s="155" t="n"/>
      <c r="C73" s="155" t="n"/>
      <c r="D73" s="155" t="n"/>
      <c r="E73" s="155" t="n"/>
      <c r="F73" s="155" t="n"/>
      <c r="G73" s="155" t="n"/>
    </row>
    <row r="74">
      <c r="A74" s="155" t="n"/>
      <c r="B74" s="155" t="n"/>
      <c r="C74" s="155" t="n"/>
      <c r="D74" s="155" t="n"/>
      <c r="E74" s="155" t="n"/>
      <c r="F74" s="155" t="n"/>
      <c r="G74" s="155" t="n"/>
    </row>
    <row r="75">
      <c r="A75" s="155" t="n"/>
      <c r="B75" s="155" t="n"/>
      <c r="C75" s="155" t="n"/>
      <c r="D75" s="155" t="n"/>
      <c r="E75" s="155" t="n"/>
      <c r="F75" s="155" t="n"/>
      <c r="G75" s="155" t="n"/>
    </row>
    <row r="76">
      <c r="A76" s="155" t="n"/>
      <c r="B76" s="155" t="n"/>
      <c r="C76" s="155" t="n"/>
      <c r="D76" s="155" t="n"/>
      <c r="E76" s="155" t="n"/>
      <c r="F76" s="155" t="n"/>
      <c r="G76" s="155" t="n"/>
    </row>
    <row r="77">
      <c r="A77" s="155" t="n"/>
      <c r="B77" s="155" t="n"/>
      <c r="C77" s="155" t="n"/>
      <c r="D77" s="155" t="n"/>
      <c r="E77" s="155" t="n"/>
      <c r="F77" s="155" t="n"/>
      <c r="G77" s="155" t="n"/>
    </row>
    <row r="78">
      <c r="A78" s="155" t="n"/>
      <c r="B78" s="155" t="n"/>
      <c r="C78" s="155" t="n"/>
      <c r="D78" s="155" t="n"/>
      <c r="E78" s="155" t="n"/>
      <c r="F78" s="155" t="n"/>
      <c r="G78" s="155" t="n"/>
    </row>
    <row r="79">
      <c r="A79" s="155" t="n"/>
      <c r="B79" s="155" t="n"/>
      <c r="C79" s="155" t="n"/>
      <c r="D79" s="155" t="n"/>
      <c r="E79" s="155" t="n"/>
      <c r="F79" s="155" t="n"/>
      <c r="G79" s="155" t="n"/>
    </row>
    <row r="80">
      <c r="A80" s="155" t="n"/>
      <c r="B80" s="155" t="n"/>
      <c r="C80" s="155" t="n"/>
      <c r="D80" s="155" t="n"/>
      <c r="E80" s="155" t="n"/>
      <c r="F80" s="155" t="n"/>
      <c r="G80" s="155" t="n"/>
    </row>
    <row r="81">
      <c r="A81" s="155" t="n"/>
      <c r="B81" s="155" t="n"/>
      <c r="C81" s="155" t="n"/>
      <c r="D81" s="155" t="n"/>
      <c r="E81" s="155" t="n"/>
      <c r="F81" s="155" t="n"/>
      <c r="G81" s="155" t="n"/>
    </row>
    <row r="82">
      <c r="A82" s="155" t="n"/>
      <c r="B82" s="155" t="n"/>
      <c r="C82" s="155" t="n"/>
      <c r="D82" s="155" t="n"/>
      <c r="E82" s="155" t="n"/>
      <c r="F82" s="155" t="n"/>
      <c r="G82" s="155" t="n"/>
    </row>
    <row r="83">
      <c r="A83" s="155" t="n"/>
      <c r="B83" s="155" t="n"/>
      <c r="C83" s="155" t="n"/>
      <c r="D83" s="155" t="n"/>
      <c r="E83" s="155" t="n"/>
      <c r="F83" s="155" t="n"/>
      <c r="G83" s="155" t="n"/>
    </row>
    <row r="84">
      <c r="A84" s="155" t="n"/>
      <c r="B84" s="155" t="n"/>
      <c r="C84" s="155" t="n"/>
      <c r="D84" s="155" t="n"/>
      <c r="E84" s="155" t="n"/>
      <c r="F84" s="155" t="n"/>
      <c r="G84" s="155" t="n"/>
    </row>
    <row r="85">
      <c r="A85" s="155" t="n"/>
      <c r="B85" s="155" t="n"/>
      <c r="C85" s="155" t="n"/>
      <c r="D85" s="155" t="n"/>
      <c r="E85" s="155" t="n"/>
      <c r="F85" s="155" t="n"/>
      <c r="G85" s="155" t="n"/>
    </row>
    <row r="86">
      <c r="A86" s="155" t="n"/>
      <c r="B86" s="155" t="n"/>
      <c r="C86" s="155" t="n"/>
      <c r="D86" s="155" t="n"/>
      <c r="E86" s="155" t="n"/>
      <c r="F86" s="155" t="n"/>
      <c r="G86" s="155" t="n"/>
    </row>
    <row r="87">
      <c r="A87" s="155" t="n"/>
      <c r="B87" s="155" t="n"/>
      <c r="C87" s="155" t="n"/>
      <c r="D87" s="155" t="n"/>
      <c r="E87" s="155" t="n"/>
      <c r="F87" s="155" t="n"/>
      <c r="G87" s="155" t="n"/>
    </row>
    <row r="88">
      <c r="A88" s="155" t="n"/>
      <c r="B88" s="155" t="n"/>
      <c r="C88" s="155" t="n"/>
      <c r="D88" s="155" t="n"/>
      <c r="E88" s="155" t="n"/>
      <c r="F88" s="155" t="n"/>
      <c r="G88" s="155" t="n"/>
    </row>
    <row r="89">
      <c r="A89" s="155" t="n"/>
      <c r="B89" s="155" t="n"/>
      <c r="C89" s="155" t="n"/>
      <c r="D89" s="155" t="n"/>
      <c r="E89" s="155" t="n"/>
      <c r="F89" s="155" t="n"/>
      <c r="G89" s="155" t="n"/>
    </row>
    <row r="90">
      <c r="A90" s="155" t="n"/>
      <c r="B90" s="155" t="n"/>
      <c r="C90" s="155" t="n"/>
      <c r="D90" s="155" t="n"/>
      <c r="E90" s="155" t="n"/>
      <c r="F90" s="155" t="n"/>
      <c r="G90" s="155" t="n"/>
    </row>
    <row r="91">
      <c r="A91" s="155" t="n"/>
      <c r="B91" s="155" t="n"/>
      <c r="C91" s="155" t="n"/>
      <c r="D91" s="155" t="n"/>
      <c r="E91" s="155" t="n"/>
      <c r="F91" s="155" t="n"/>
      <c r="G91" s="155" t="n"/>
    </row>
    <row r="92">
      <c r="A92" s="155" t="n"/>
      <c r="B92" s="155" t="n"/>
      <c r="C92" s="155" t="n"/>
      <c r="D92" s="155" t="n"/>
      <c r="E92" s="155" t="n"/>
      <c r="F92" s="155" t="n"/>
      <c r="G92" s="155" t="n"/>
    </row>
    <row r="93">
      <c r="A93" s="155" t="n"/>
      <c r="B93" s="155" t="n"/>
      <c r="C93" s="155" t="n"/>
      <c r="D93" s="155" t="n"/>
      <c r="E93" s="155" t="n"/>
      <c r="F93" s="155" t="n"/>
      <c r="G93" s="155" t="n"/>
    </row>
    <row r="94">
      <c r="A94" s="155" t="n"/>
      <c r="B94" s="155" t="n"/>
      <c r="C94" s="155" t="n"/>
      <c r="D94" s="155" t="n"/>
      <c r="E94" s="155" t="n"/>
      <c r="F94" s="155" t="n"/>
      <c r="G94" s="155" t="n"/>
    </row>
    <row r="95">
      <c r="A95" s="155" t="n"/>
      <c r="B95" s="155" t="n"/>
      <c r="C95" s="155" t="n"/>
      <c r="D95" s="155" t="n"/>
      <c r="E95" s="155" t="n"/>
      <c r="F95" s="155" t="n"/>
      <c r="G95" s="155" t="n"/>
    </row>
    <row r="96">
      <c r="A96" s="155" t="n"/>
      <c r="B96" s="155" t="n"/>
      <c r="C96" s="155" t="n"/>
      <c r="D96" s="155" t="n"/>
      <c r="E96" s="155" t="n"/>
      <c r="F96" s="155" t="n"/>
      <c r="G96" s="155" t="n"/>
    </row>
    <row r="97">
      <c r="A97" s="155" t="n"/>
      <c r="B97" s="155" t="n"/>
      <c r="C97" s="155" t="n"/>
      <c r="D97" s="155" t="n"/>
      <c r="E97" s="155" t="n"/>
      <c r="F97" s="155" t="n"/>
      <c r="G97" s="155" t="n"/>
    </row>
    <row r="98">
      <c r="A98" s="155" t="n"/>
      <c r="B98" s="155" t="n"/>
      <c r="C98" s="155" t="n"/>
      <c r="D98" s="155" t="n"/>
      <c r="E98" s="155" t="n"/>
      <c r="F98" s="155" t="n"/>
      <c r="G98" s="155" t="n"/>
    </row>
    <row r="99">
      <c r="A99" s="155" t="n"/>
      <c r="B99" s="155" t="n"/>
      <c r="C99" s="155" t="n"/>
      <c r="D99" s="155" t="n"/>
      <c r="E99" s="155" t="n"/>
      <c r="F99" s="155" t="n"/>
      <c r="G99" s="155" t="n"/>
    </row>
    <row r="100">
      <c r="A100" s="155" t="n"/>
      <c r="B100" s="155" t="n"/>
      <c r="C100" s="155" t="n"/>
      <c r="D100" s="155" t="n"/>
      <c r="E100" s="155" t="n"/>
      <c r="F100" s="155" t="n"/>
      <c r="G100" s="155" t="n"/>
    </row>
    <row r="101">
      <c r="A101" s="155" t="n"/>
      <c r="B101" s="155" t="n"/>
      <c r="C101" s="155" t="n"/>
      <c r="D101" s="155" t="n"/>
      <c r="E101" s="155" t="n"/>
      <c r="F101" s="155" t="n"/>
      <c r="G101" s="155" t="n"/>
    </row>
    <row r="102">
      <c r="A102" s="155" t="n"/>
      <c r="B102" s="155" t="n"/>
      <c r="C102" s="155" t="n"/>
      <c r="D102" s="155" t="n"/>
      <c r="E102" s="155" t="n"/>
      <c r="F102" s="155" t="n"/>
      <c r="G102" s="155" t="n"/>
    </row>
    <row r="103">
      <c r="A103" s="155" t="n"/>
      <c r="B103" s="155" t="n"/>
      <c r="C103" s="155" t="n"/>
      <c r="D103" s="155" t="n"/>
      <c r="E103" s="155" t="n"/>
      <c r="F103" s="155" t="n"/>
      <c r="G103" s="155" t="n"/>
    </row>
    <row r="104">
      <c r="A104" s="155" t="n"/>
      <c r="B104" s="155" t="n"/>
      <c r="C104" s="155" t="n"/>
      <c r="D104" s="155" t="n"/>
      <c r="E104" s="155" t="n"/>
      <c r="F104" s="155" t="n"/>
      <c r="G104" s="155" t="n"/>
    </row>
    <row r="105">
      <c r="A105" s="155" t="n"/>
      <c r="B105" s="155" t="n"/>
      <c r="C105" s="155" t="n"/>
      <c r="D105" s="155" t="n"/>
      <c r="E105" s="155" t="n"/>
      <c r="F105" s="155" t="n"/>
      <c r="G105" s="155" t="n"/>
    </row>
    <row r="106">
      <c r="A106" s="155" t="n"/>
      <c r="B106" s="155" t="n"/>
      <c r="C106" s="155" t="n"/>
      <c r="D106" s="155" t="n"/>
      <c r="E106" s="155" t="n"/>
      <c r="F106" s="155" t="n"/>
      <c r="G106" s="155" t="n"/>
    </row>
    <row r="107">
      <c r="A107" s="155" t="n"/>
      <c r="B107" s="155" t="n"/>
      <c r="C107" s="155" t="n"/>
      <c r="D107" s="155" t="n"/>
      <c r="E107" s="155" t="n"/>
      <c r="F107" s="155" t="n"/>
      <c r="G107" s="155" t="n"/>
    </row>
    <row r="108">
      <c r="A108" s="155" t="n"/>
      <c r="B108" s="155" t="n"/>
      <c r="C108" s="155" t="n"/>
      <c r="D108" s="155" t="n"/>
      <c r="E108" s="155" t="n"/>
      <c r="F108" s="155" t="n"/>
      <c r="G108" s="155" t="n"/>
    </row>
    <row r="109">
      <c r="A109" s="155" t="n"/>
      <c r="B109" s="155" t="n"/>
      <c r="C109" s="155" t="n"/>
      <c r="D109" s="155" t="n"/>
      <c r="E109" s="155" t="n"/>
      <c r="F109" s="155" t="n"/>
      <c r="G109" s="155" t="n"/>
    </row>
    <row r="110">
      <c r="A110" s="155" t="n"/>
      <c r="B110" s="155" t="n"/>
      <c r="C110" s="155" t="n"/>
      <c r="D110" s="155" t="n"/>
      <c r="E110" s="155" t="n"/>
      <c r="F110" s="155" t="n"/>
      <c r="G110" s="155" t="n"/>
    </row>
    <row r="111">
      <c r="A111" s="155" t="n"/>
      <c r="B111" s="155" t="n"/>
      <c r="C111" s="155" t="n"/>
      <c r="D111" s="155" t="n"/>
      <c r="E111" s="155" t="n"/>
      <c r="F111" s="155" t="n"/>
      <c r="G111" s="155" t="n"/>
    </row>
    <row r="112">
      <c r="A112" s="155" t="n"/>
      <c r="B112" s="155" t="n"/>
      <c r="C112" s="155" t="n"/>
      <c r="D112" s="155" t="n"/>
      <c r="E112" s="155" t="n"/>
      <c r="F112" s="155" t="n"/>
      <c r="G112" s="155" t="n"/>
    </row>
    <row r="113">
      <c r="A113" s="155" t="n"/>
      <c r="B113" s="155" t="n"/>
      <c r="C113" s="155" t="n"/>
      <c r="D113" s="155" t="n"/>
      <c r="E113" s="155" t="n"/>
      <c r="F113" s="155" t="n"/>
      <c r="G113" s="155" t="n"/>
    </row>
    <row r="114">
      <c r="A114" s="155" t="n"/>
      <c r="B114" s="155" t="n"/>
      <c r="C114" s="155" t="n"/>
      <c r="D114" s="155" t="n"/>
      <c r="E114" s="155" t="n"/>
      <c r="F114" s="155" t="n"/>
      <c r="G114" s="155" t="n"/>
    </row>
    <row r="115">
      <c r="A115" s="155" t="n"/>
      <c r="B115" s="155" t="n"/>
      <c r="C115" s="155" t="n"/>
      <c r="D115" s="155" t="n"/>
      <c r="E115" s="155" t="n"/>
      <c r="F115" s="155" t="n"/>
      <c r="G115" s="155" t="n"/>
    </row>
    <row r="116">
      <c r="A116" s="155" t="n"/>
      <c r="B116" s="155" t="n"/>
      <c r="C116" s="155" t="n"/>
      <c r="D116" s="155" t="n"/>
      <c r="E116" s="155" t="n"/>
      <c r="F116" s="155" t="n"/>
      <c r="G116" s="155" t="n"/>
    </row>
    <row r="117">
      <c r="A117" s="155" t="n"/>
      <c r="B117" s="155" t="n"/>
      <c r="C117" s="155" t="n"/>
      <c r="D117" s="155" t="n"/>
      <c r="E117" s="155" t="n"/>
      <c r="F117" s="155" t="n"/>
      <c r="G117" s="155" t="n"/>
    </row>
    <row r="118">
      <c r="A118" s="155" t="n"/>
      <c r="B118" s="155" t="n"/>
      <c r="C118" s="155" t="n"/>
      <c r="D118" s="155" t="n"/>
      <c r="E118" s="155" t="n"/>
      <c r="F118" s="155" t="n"/>
      <c r="G118" s="155" t="n"/>
    </row>
    <row r="119">
      <c r="A119" s="155" t="n"/>
      <c r="B119" s="155" t="n"/>
      <c r="C119" s="155" t="n"/>
      <c r="D119" s="155" t="n"/>
      <c r="E119" s="155" t="n"/>
      <c r="F119" s="155" t="n"/>
      <c r="G119" s="155" t="n"/>
    </row>
    <row r="120">
      <c r="A120" s="155" t="n"/>
      <c r="B120" s="155" t="n"/>
      <c r="C120" s="155" t="n"/>
      <c r="D120" s="155" t="n"/>
      <c r="E120" s="155" t="n"/>
      <c r="F120" s="155" t="n"/>
      <c r="G120" s="155" t="n"/>
    </row>
    <row r="121">
      <c r="A121" s="155" t="n"/>
      <c r="B121" s="155" t="n"/>
      <c r="C121" s="155" t="n"/>
      <c r="D121" s="155" t="n"/>
      <c r="E121" s="155" t="n"/>
      <c r="F121" s="155" t="n"/>
      <c r="G121" s="155" t="n"/>
    </row>
    <row r="122">
      <c r="A122" s="155" t="n"/>
      <c r="B122" s="155" t="n"/>
      <c r="C122" s="155" t="n"/>
      <c r="D122" s="155" t="n"/>
      <c r="E122" s="155" t="n"/>
      <c r="F122" s="155" t="n"/>
      <c r="G122" s="155" t="n"/>
    </row>
    <row r="123">
      <c r="A123" s="155" t="n"/>
      <c r="B123" s="155" t="n"/>
      <c r="C123" s="155" t="n"/>
      <c r="D123" s="155" t="n"/>
      <c r="E123" s="155" t="n"/>
      <c r="F123" s="155" t="n"/>
      <c r="G123" s="155" t="n"/>
    </row>
    <row r="124">
      <c r="A124" s="155" t="n"/>
      <c r="B124" s="155" t="n"/>
      <c r="C124" s="155" t="n"/>
      <c r="D124" s="155" t="n"/>
      <c r="E124" s="155" t="n"/>
      <c r="F124" s="155" t="n"/>
      <c r="G124" s="155" t="n"/>
    </row>
    <row r="125">
      <c r="A125" s="155" t="n"/>
      <c r="B125" s="155" t="n"/>
      <c r="C125" s="155" t="n"/>
      <c r="D125" s="155" t="n"/>
      <c r="E125" s="155" t="n"/>
      <c r="F125" s="155" t="n"/>
      <c r="G125" s="155" t="n"/>
    </row>
    <row r="126">
      <c r="A126" s="155" t="n"/>
      <c r="B126" s="155" t="n"/>
      <c r="C126" s="155" t="n"/>
      <c r="D126" s="155" t="n"/>
      <c r="E126" s="155" t="n"/>
      <c r="F126" s="155" t="n"/>
      <c r="G126" s="155" t="n"/>
    </row>
    <row r="127">
      <c r="A127" s="155" t="n"/>
      <c r="B127" s="155" t="n"/>
      <c r="C127" s="155" t="n"/>
      <c r="D127" s="155" t="n"/>
      <c r="E127" s="155" t="n"/>
      <c r="F127" s="155" t="n"/>
      <c r="G127" s="155" t="n"/>
    </row>
    <row r="128">
      <c r="A128" s="155" t="n"/>
      <c r="B128" s="155" t="n"/>
      <c r="C128" s="155" t="n"/>
      <c r="D128" s="155" t="n"/>
      <c r="E128" s="155" t="n"/>
      <c r="F128" s="155" t="n"/>
      <c r="G128" s="155" t="n"/>
    </row>
    <row r="129">
      <c r="A129" s="155" t="n"/>
      <c r="B129" s="155" t="n"/>
      <c r="C129" s="155" t="n"/>
      <c r="D129" s="155" t="n"/>
      <c r="E129" s="155" t="n"/>
      <c r="F129" s="155" t="n"/>
      <c r="G129" s="155" t="n"/>
    </row>
    <row r="130">
      <c r="A130" s="155" t="n"/>
      <c r="B130" s="155" t="n"/>
      <c r="C130" s="155" t="n"/>
      <c r="D130" s="155" t="n"/>
      <c r="E130" s="155" t="n"/>
      <c r="F130" s="155" t="n"/>
      <c r="G130" s="155" t="n"/>
    </row>
    <row r="131">
      <c r="A131" s="155" t="n"/>
      <c r="B131" s="155" t="n"/>
      <c r="C131" s="155" t="n"/>
      <c r="D131" s="155" t="n"/>
      <c r="E131" s="155" t="n"/>
      <c r="F131" s="155" t="n"/>
      <c r="G131" s="155" t="n"/>
    </row>
    <row r="132">
      <c r="A132" s="155" t="n"/>
      <c r="B132" s="155" t="n"/>
      <c r="C132" s="155" t="n"/>
      <c r="D132" s="155" t="n"/>
      <c r="E132" s="155" t="n"/>
      <c r="F132" s="155" t="n"/>
      <c r="G132" s="155" t="n"/>
    </row>
    <row r="133">
      <c r="A133" s="155" t="n"/>
      <c r="B133" s="155" t="n"/>
      <c r="C133" s="155" t="n"/>
      <c r="D133" s="155" t="n"/>
      <c r="E133" s="155" t="n"/>
      <c r="F133" s="155" t="n"/>
      <c r="G133" s="155" t="n"/>
    </row>
    <row r="134">
      <c r="A134" s="155" t="n"/>
      <c r="B134" s="155" t="n"/>
      <c r="C134" s="155" t="n"/>
      <c r="D134" s="155" t="n"/>
      <c r="E134" s="155" t="n"/>
      <c r="F134" s="155" t="n"/>
      <c r="G134" s="155" t="n"/>
    </row>
    <row r="135">
      <c r="A135" s="155" t="n"/>
      <c r="B135" s="155" t="n"/>
      <c r="C135" s="155" t="n"/>
      <c r="D135" s="155" t="n"/>
      <c r="E135" s="155" t="n"/>
      <c r="F135" s="155" t="n"/>
      <c r="G135" s="155" t="n"/>
    </row>
    <row r="136">
      <c r="A136" s="155" t="n"/>
      <c r="B136" s="155" t="n"/>
      <c r="C136" s="155" t="n"/>
      <c r="D136" s="155" t="n"/>
      <c r="E136" s="155" t="n"/>
      <c r="F136" s="155" t="n"/>
      <c r="G136" s="155" t="n"/>
    </row>
    <row r="137">
      <c r="A137" s="155" t="n"/>
      <c r="B137" s="155" t="n"/>
      <c r="C137" s="155" t="n"/>
      <c r="D137" s="155" t="n"/>
      <c r="E137" s="155" t="n"/>
      <c r="F137" s="155" t="n"/>
      <c r="G137" s="155" t="n"/>
    </row>
    <row r="138">
      <c r="A138" s="155" t="n"/>
      <c r="B138" s="155" t="n"/>
      <c r="C138" s="155" t="n"/>
      <c r="D138" s="155" t="n"/>
      <c r="E138" s="155" t="n"/>
      <c r="F138" s="155" t="n"/>
      <c r="G138" s="155" t="n"/>
    </row>
    <row r="139">
      <c r="A139" s="155" t="n"/>
      <c r="B139" s="155" t="n"/>
      <c r="C139" s="155" t="n"/>
      <c r="D139" s="155" t="n"/>
      <c r="E139" s="155" t="n"/>
      <c r="F139" s="155" t="n"/>
      <c r="G139" s="155" t="n"/>
    </row>
    <row r="140">
      <c r="A140" s="155" t="n"/>
      <c r="B140" s="155" t="n"/>
      <c r="C140" s="155" t="n"/>
      <c r="D140" s="155" t="n"/>
      <c r="E140" s="155" t="n"/>
      <c r="F140" s="155" t="n"/>
      <c r="G140" s="155" t="n"/>
    </row>
    <row r="141">
      <c r="A141" s="155" t="n"/>
      <c r="B141" s="155" t="n"/>
      <c r="C141" s="155" t="n"/>
      <c r="D141" s="155" t="n"/>
      <c r="E141" s="155" t="n"/>
      <c r="F141" s="155" t="n"/>
      <c r="G141" s="155" t="n"/>
    </row>
    <row r="142">
      <c r="A142" s="155" t="n"/>
      <c r="B142" s="155" t="n"/>
      <c r="C142" s="155" t="n"/>
      <c r="D142" s="155" t="n"/>
      <c r="E142" s="155" t="n"/>
      <c r="F142" s="155" t="n"/>
      <c r="G142" s="155" t="n"/>
    </row>
    <row r="143">
      <c r="A143" s="155" t="n"/>
      <c r="B143" s="155" t="n"/>
      <c r="C143" s="155" t="n"/>
      <c r="D143" s="155" t="n"/>
      <c r="E143" s="155" t="n"/>
      <c r="F143" s="155" t="n"/>
      <c r="G143" s="155" t="n"/>
    </row>
    <row r="144">
      <c r="A144" s="155" t="n"/>
      <c r="B144" s="155" t="n"/>
      <c r="C144" s="155" t="n"/>
      <c r="D144" s="155" t="n"/>
      <c r="E144" s="155" t="n"/>
      <c r="F144" s="155" t="n"/>
      <c r="G144" s="155" t="n"/>
    </row>
    <row r="145">
      <c r="A145" s="155" t="n"/>
      <c r="B145" s="155" t="n"/>
      <c r="C145" s="155" t="n"/>
      <c r="D145" s="155" t="n"/>
      <c r="E145" s="155" t="n"/>
      <c r="F145" s="155" t="n"/>
      <c r="G145" s="155" t="n"/>
    </row>
    <row r="146">
      <c r="A146" s="155" t="n"/>
      <c r="B146" s="155" t="n"/>
      <c r="C146" s="155" t="n"/>
      <c r="D146" s="155" t="n"/>
      <c r="E146" s="155" t="n"/>
      <c r="F146" s="155" t="n"/>
      <c r="G146" s="155" t="n"/>
    </row>
    <row r="147">
      <c r="A147" s="155" t="n"/>
      <c r="B147" s="155" t="n"/>
      <c r="C147" s="155" t="n"/>
      <c r="D147" s="155" t="n"/>
      <c r="E147" s="155" t="n"/>
      <c r="F147" s="155" t="n"/>
      <c r="G147" s="155" t="n"/>
    </row>
    <row r="148">
      <c r="A148" s="155" t="n"/>
      <c r="B148" s="155" t="n"/>
      <c r="C148" s="155" t="n"/>
      <c r="D148" s="155" t="n"/>
      <c r="E148" s="155" t="n"/>
      <c r="F148" s="155" t="n"/>
      <c r="G148" s="155" t="n"/>
    </row>
    <row r="149">
      <c r="A149" s="155" t="n"/>
      <c r="B149" s="155" t="n"/>
      <c r="C149" s="155" t="n"/>
      <c r="D149" s="155" t="n"/>
      <c r="E149" s="155" t="n"/>
      <c r="F149" s="155" t="n"/>
      <c r="G149" s="155" t="n"/>
    </row>
    <row r="150">
      <c r="A150" s="155" t="n"/>
      <c r="B150" s="155" t="n"/>
      <c r="C150" s="155" t="n"/>
      <c r="D150" s="155" t="n"/>
      <c r="E150" s="155" t="n"/>
      <c r="F150" s="155" t="n"/>
      <c r="G150" s="155" t="n"/>
    </row>
    <row r="151">
      <c r="A151" s="155" t="n"/>
      <c r="B151" s="155" t="n"/>
      <c r="C151" s="155" t="n"/>
      <c r="D151" s="155" t="n"/>
      <c r="E151" s="155" t="n"/>
      <c r="F151" s="155" t="n"/>
      <c r="G151" s="155" t="n"/>
    </row>
    <row r="152">
      <c r="A152" s="155" t="n"/>
      <c r="B152" s="155" t="n"/>
      <c r="C152" s="155" t="n"/>
      <c r="D152" s="155" t="n"/>
      <c r="E152" s="155" t="n"/>
      <c r="F152" s="155" t="n"/>
      <c r="G152" s="155" t="n"/>
    </row>
    <row r="153">
      <c r="A153" s="155" t="n"/>
      <c r="B153" s="155" t="n"/>
      <c r="C153" s="155" t="n"/>
      <c r="D153" s="155" t="n"/>
      <c r="E153" s="155" t="n"/>
      <c r="F153" s="155" t="n"/>
      <c r="G153" s="155" t="n"/>
    </row>
    <row r="154">
      <c r="A154" s="155" t="n"/>
      <c r="B154" s="155" t="n"/>
      <c r="C154" s="155" t="n"/>
      <c r="D154" s="155" t="n"/>
      <c r="E154" s="155" t="n"/>
      <c r="F154" s="155" t="n"/>
      <c r="G154" s="155" t="n"/>
    </row>
    <row r="155">
      <c r="A155" s="155" t="n"/>
      <c r="B155" s="155" t="n"/>
      <c r="C155" s="155" t="n"/>
      <c r="D155" s="155" t="n"/>
      <c r="E155" s="155" t="n"/>
      <c r="F155" s="155" t="n"/>
      <c r="G155" s="155" t="n"/>
    </row>
    <row r="156">
      <c r="A156" s="155" t="n"/>
      <c r="B156" s="155" t="n"/>
      <c r="C156" s="155" t="n"/>
      <c r="D156" s="155" t="n"/>
      <c r="E156" s="155" t="n"/>
      <c r="F156" s="155" t="n"/>
      <c r="G156" s="155" t="n"/>
    </row>
    <row r="157">
      <c r="A157" s="155" t="n"/>
      <c r="B157" s="155" t="n"/>
      <c r="C157" s="155" t="n"/>
      <c r="D157" s="155" t="n"/>
      <c r="E157" s="155" t="n"/>
      <c r="F157" s="155" t="n"/>
      <c r="G157" s="155" t="n"/>
    </row>
    <row r="158">
      <c r="A158" s="155" t="n"/>
      <c r="B158" s="155" t="n"/>
      <c r="C158" s="155" t="n"/>
      <c r="D158" s="155" t="n"/>
      <c r="E158" s="155" t="n"/>
      <c r="F158" s="155" t="n"/>
      <c r="G158" s="155" t="n"/>
    </row>
    <row r="159">
      <c r="A159" s="155" t="n"/>
      <c r="B159" s="155" t="n"/>
      <c r="C159" s="155" t="n"/>
      <c r="D159" s="155" t="n"/>
      <c r="E159" s="155" t="n"/>
      <c r="F159" s="155" t="n"/>
      <c r="G159" s="155" t="n"/>
    </row>
    <row r="160">
      <c r="A160" s="155" t="n"/>
      <c r="B160" s="155" t="n"/>
      <c r="C160" s="155" t="n"/>
      <c r="D160" s="155" t="n"/>
      <c r="E160" s="155" t="n"/>
      <c r="F160" s="155" t="n"/>
      <c r="G160" s="155" t="n"/>
    </row>
    <row r="161">
      <c r="A161" s="155" t="n"/>
      <c r="B161" s="155" t="n"/>
      <c r="C161" s="155" t="n"/>
      <c r="D161" s="155" t="n"/>
      <c r="E161" s="155" t="n"/>
      <c r="F161" s="155" t="n"/>
      <c r="G161" s="155" t="n"/>
    </row>
    <row r="162">
      <c r="A162" s="155" t="n"/>
      <c r="B162" s="155" t="n"/>
      <c r="C162" s="155" t="n"/>
      <c r="D162" s="155" t="n"/>
      <c r="E162" s="155" t="n"/>
      <c r="F162" s="155" t="n"/>
      <c r="G162" s="155" t="n"/>
    </row>
    <row r="163">
      <c r="A163" s="155" t="n"/>
      <c r="B163" s="155" t="n"/>
      <c r="C163" s="155" t="n"/>
      <c r="D163" s="155" t="n"/>
      <c r="E163" s="155" t="n"/>
      <c r="F163" s="155" t="n"/>
      <c r="G163" s="155" t="n"/>
    </row>
    <row r="164">
      <c r="A164" s="155" t="n"/>
      <c r="B164" s="155" t="n"/>
      <c r="C164" s="155" t="n"/>
      <c r="D164" s="155" t="n"/>
      <c r="E164" s="155" t="n"/>
      <c r="F164" s="155" t="n"/>
      <c r="G164" s="155" t="n"/>
    </row>
    <row r="165">
      <c r="A165" s="155" t="n"/>
      <c r="B165" s="155" t="n"/>
      <c r="C165" s="155" t="n"/>
      <c r="D165" s="155" t="n"/>
      <c r="E165" s="155" t="n"/>
      <c r="F165" s="155" t="n"/>
      <c r="G165" s="155" t="n"/>
    </row>
    <row r="166">
      <c r="A166" s="155" t="n"/>
      <c r="B166" s="155" t="n"/>
      <c r="C166" s="155" t="n"/>
      <c r="D166" s="155" t="n"/>
      <c r="E166" s="155" t="n"/>
      <c r="F166" s="155" t="n"/>
      <c r="G166" s="155" t="n"/>
    </row>
    <row r="167">
      <c r="A167" s="155" t="n"/>
      <c r="B167" s="155" t="n"/>
      <c r="C167" s="155" t="n"/>
      <c r="D167" s="155" t="n"/>
      <c r="E167" s="155" t="n"/>
      <c r="F167" s="155" t="n"/>
      <c r="G167" s="155" t="n"/>
    </row>
    <row r="168">
      <c r="A168" s="155" t="n"/>
      <c r="B168" s="155" t="n"/>
      <c r="C168" s="155" t="n"/>
      <c r="D168" s="155" t="n"/>
      <c r="E168" s="155" t="n"/>
      <c r="F168" s="155" t="n"/>
      <c r="G168" s="155" t="n"/>
    </row>
    <row r="169">
      <c r="A169" s="155" t="n"/>
      <c r="B169" s="155" t="n"/>
      <c r="C169" s="155" t="n"/>
      <c r="D169" s="155" t="n"/>
      <c r="E169" s="155" t="n"/>
      <c r="F169" s="155" t="n"/>
      <c r="G169" s="155" t="n"/>
    </row>
    <row r="170">
      <c r="A170" s="155" t="n"/>
      <c r="B170" s="155" t="n"/>
      <c r="C170" s="155" t="n"/>
      <c r="D170" s="155" t="n"/>
      <c r="E170" s="155" t="n"/>
      <c r="F170" s="155" t="n"/>
      <c r="G170" s="155" t="n"/>
    </row>
    <row r="171">
      <c r="A171" s="155" t="n"/>
      <c r="B171" s="155" t="n"/>
      <c r="C171" s="155" t="n"/>
      <c r="D171" s="155" t="n"/>
      <c r="E171" s="155" t="n"/>
      <c r="F171" s="155" t="n"/>
      <c r="G171" s="155" t="n"/>
    </row>
    <row r="172">
      <c r="A172" s="155" t="n"/>
      <c r="B172" s="155" t="n"/>
      <c r="C172" s="155" t="n"/>
      <c r="D172" s="155" t="n"/>
      <c r="E172" s="155" t="n"/>
      <c r="F172" s="155" t="n"/>
      <c r="G172" s="155" t="n"/>
    </row>
    <row r="173">
      <c r="A173" s="155" t="n"/>
      <c r="B173" s="155" t="n"/>
      <c r="C173" s="155" t="n"/>
      <c r="D173" s="155" t="n"/>
      <c r="E173" s="155" t="n"/>
      <c r="F173" s="155" t="n"/>
      <c r="G173" s="155" t="n"/>
    </row>
    <row r="174">
      <c r="A174" s="155" t="n"/>
      <c r="B174" s="155" t="n"/>
      <c r="C174" s="155" t="n"/>
      <c r="D174" s="155" t="n"/>
      <c r="E174" s="155" t="n"/>
      <c r="F174" s="155" t="n"/>
      <c r="G174" s="155" t="n"/>
    </row>
    <row r="175">
      <c r="A175" s="155" t="n"/>
      <c r="B175" s="155" t="n"/>
      <c r="C175" s="155" t="n"/>
      <c r="D175" s="155" t="n"/>
      <c r="E175" s="155" t="n"/>
      <c r="F175" s="155" t="n"/>
      <c r="G175" s="155" t="n"/>
    </row>
    <row r="176">
      <c r="A176" s="155" t="n"/>
      <c r="B176" s="155" t="n"/>
      <c r="C176" s="155" t="n"/>
      <c r="D176" s="155" t="n"/>
      <c r="E176" s="155" t="n"/>
      <c r="F176" s="155" t="n"/>
      <c r="G176" s="155" t="n"/>
    </row>
    <row r="177">
      <c r="A177" s="155" t="n"/>
      <c r="B177" s="155" t="n"/>
      <c r="C177" s="155" t="n"/>
      <c r="D177" s="155" t="n"/>
      <c r="E177" s="155" t="n"/>
      <c r="F177" s="155" t="n"/>
      <c r="G177" s="155" t="n"/>
    </row>
    <row r="178">
      <c r="A178" s="155" t="n"/>
      <c r="B178" s="155" t="n"/>
      <c r="C178" s="155" t="n"/>
      <c r="D178" s="155" t="n"/>
      <c r="E178" s="155" t="n"/>
      <c r="F178" s="155" t="n"/>
      <c r="G178" s="155" t="n"/>
    </row>
    <row r="179">
      <c r="A179" s="155" t="n"/>
      <c r="B179" s="155" t="n"/>
      <c r="C179" s="155" t="n"/>
      <c r="D179" s="155" t="n"/>
      <c r="E179" s="155" t="n"/>
      <c r="F179" s="155" t="n"/>
      <c r="G179" s="155" t="n"/>
    </row>
    <row r="180">
      <c r="A180" s="155" t="n"/>
      <c r="B180" s="155" t="n"/>
      <c r="C180" s="155" t="n"/>
      <c r="D180" s="155" t="n"/>
      <c r="E180" s="155" t="n"/>
      <c r="F180" s="155" t="n"/>
      <c r="G180" s="155" t="n"/>
    </row>
    <row r="181">
      <c r="A181" s="155" t="n"/>
      <c r="B181" s="155" t="n"/>
      <c r="C181" s="155" t="n"/>
      <c r="D181" s="155" t="n"/>
      <c r="E181" s="155" t="n"/>
      <c r="F181" s="155" t="n"/>
      <c r="G181" s="155" t="n"/>
    </row>
    <row r="182">
      <c r="A182" s="155" t="n"/>
      <c r="B182" s="155" t="n"/>
      <c r="C182" s="155" t="n"/>
      <c r="D182" s="155" t="n"/>
      <c r="E182" s="155" t="n"/>
      <c r="F182" s="155" t="n"/>
      <c r="G182" s="155" t="n"/>
    </row>
    <row r="183">
      <c r="A183" s="155" t="n"/>
      <c r="B183" s="155" t="n"/>
      <c r="C183" s="155" t="n"/>
      <c r="D183" s="155" t="n"/>
      <c r="E183" s="155" t="n"/>
      <c r="F183" s="155" t="n"/>
      <c r="G183" s="155" t="n"/>
    </row>
    <row r="184">
      <c r="A184" s="155" t="n"/>
      <c r="B184" s="155" t="n"/>
      <c r="C184" s="155" t="n"/>
      <c r="D184" s="155" t="n"/>
      <c r="E184" s="155" t="n"/>
      <c r="F184" s="155" t="n"/>
      <c r="G184" s="155" t="n"/>
    </row>
    <row r="185">
      <c r="A185" s="155" t="n"/>
      <c r="B185" s="155" t="n"/>
      <c r="C185" s="155" t="n"/>
      <c r="D185" s="155" t="n"/>
      <c r="E185" s="155" t="n"/>
      <c r="F185" s="155" t="n"/>
      <c r="G185" s="155" t="n"/>
    </row>
    <row r="186">
      <c r="A186" s="155" t="n"/>
      <c r="B186" s="155" t="n"/>
      <c r="C186" s="155" t="n"/>
      <c r="D186" s="155" t="n"/>
      <c r="E186" s="155" t="n"/>
      <c r="F186" s="155" t="n"/>
      <c r="G186" s="155" t="n"/>
    </row>
    <row r="187">
      <c r="A187" s="155" t="n"/>
      <c r="B187" s="155" t="n"/>
      <c r="C187" s="155" t="n"/>
      <c r="D187" s="155" t="n"/>
      <c r="E187" s="155" t="n"/>
      <c r="F187" s="155" t="n"/>
      <c r="G187" s="155" t="n"/>
    </row>
    <row r="188">
      <c r="A188" s="155" t="n"/>
      <c r="B188" s="155" t="n"/>
      <c r="C188" s="155" t="n"/>
      <c r="D188" s="155" t="n"/>
      <c r="E188" s="155" t="n"/>
      <c r="F188" s="155" t="n"/>
      <c r="G188" s="155" t="n"/>
    </row>
    <row r="189">
      <c r="A189" s="155" t="n"/>
      <c r="B189" s="155" t="n"/>
      <c r="C189" s="155" t="n"/>
      <c r="D189" s="155" t="n"/>
      <c r="E189" s="155" t="n"/>
      <c r="F189" s="155" t="n"/>
      <c r="G189" s="155" t="n"/>
    </row>
    <row r="190">
      <c r="A190" s="155" t="n"/>
      <c r="B190" s="155" t="n"/>
      <c r="C190" s="155" t="n"/>
      <c r="D190" s="155" t="n"/>
      <c r="E190" s="155" t="n"/>
      <c r="F190" s="155" t="n"/>
      <c r="G190" s="155" t="n"/>
    </row>
    <row r="191">
      <c r="A191" s="155" t="n"/>
      <c r="B191" s="155" t="n"/>
      <c r="C191" s="155" t="n"/>
      <c r="D191" s="155" t="n"/>
      <c r="E191" s="155" t="n"/>
      <c r="F191" s="155" t="n"/>
      <c r="G191" s="155" t="n"/>
    </row>
    <row r="192">
      <c r="A192" s="155" t="n"/>
      <c r="B192" s="155" t="n"/>
      <c r="C192" s="155" t="n"/>
      <c r="D192" s="155" t="n"/>
      <c r="E192" s="155" t="n"/>
      <c r="F192" s="155" t="n"/>
      <c r="G192" s="155" t="n"/>
    </row>
    <row r="193">
      <c r="A193" s="155" t="n"/>
      <c r="B193" s="155" t="n"/>
      <c r="C193" s="155" t="n"/>
      <c r="D193" s="155" t="n"/>
      <c r="E193" s="155" t="n"/>
      <c r="F193" s="155" t="n"/>
      <c r="G193" s="155" t="n"/>
    </row>
    <row r="194">
      <c r="A194" s="155" t="n"/>
      <c r="B194" s="155" t="n"/>
      <c r="C194" s="155" t="n"/>
      <c r="D194" s="155" t="n"/>
      <c r="E194" s="155" t="n"/>
      <c r="F194" s="155" t="n"/>
      <c r="G194" s="155" t="n"/>
    </row>
    <row r="195">
      <c r="A195" s="155" t="n"/>
      <c r="B195" s="155" t="n"/>
      <c r="C195" s="155" t="n"/>
      <c r="D195" s="155" t="n"/>
      <c r="E195" s="155" t="n"/>
      <c r="F195" s="155" t="n"/>
      <c r="G195" s="155" t="n"/>
    </row>
    <row r="196">
      <c r="A196" s="155" t="n"/>
      <c r="B196" s="155" t="n"/>
      <c r="C196" s="155" t="n"/>
      <c r="D196" s="155" t="n"/>
      <c r="E196" s="155" t="n"/>
      <c r="F196" s="155" t="n"/>
      <c r="G196" s="155" t="n"/>
    </row>
    <row r="197">
      <c r="A197" s="155" t="n"/>
      <c r="B197" s="155" t="n"/>
      <c r="C197" s="155" t="n"/>
      <c r="D197" s="155" t="n"/>
      <c r="E197" s="155" t="n"/>
      <c r="F197" s="155" t="n"/>
      <c r="G197" s="155" t="n"/>
    </row>
    <row r="198">
      <c r="A198" s="155" t="n"/>
      <c r="B198" s="155" t="n"/>
      <c r="C198" s="155" t="n"/>
      <c r="D198" s="155" t="n"/>
      <c r="E198" s="155" t="n"/>
      <c r="F198" s="155" t="n"/>
      <c r="G198" s="155" t="n"/>
    </row>
    <row r="199">
      <c r="A199" s="155" t="n"/>
      <c r="B199" s="155" t="n"/>
      <c r="C199" s="155" t="n"/>
      <c r="D199" s="155" t="n"/>
      <c r="E199" s="155" t="n"/>
      <c r="F199" s="155" t="n"/>
      <c r="G199" s="155" t="n"/>
    </row>
    <row r="200">
      <c r="A200" s="155" t="n"/>
      <c r="B200" s="155" t="n"/>
      <c r="C200" s="155" t="n"/>
      <c r="D200" s="155" t="n"/>
      <c r="E200" s="155" t="n"/>
      <c r="F200" s="155" t="n"/>
      <c r="G200" s="155" t="n"/>
    </row>
  </sheetData>
  <mergeCells count="4">
    <mergeCell ref="A32:G32"/>
    <mergeCell ref="A19:G19"/>
    <mergeCell ref="A6:G6"/>
    <mergeCell ref="A1:G1"/>
  </mergeCells>
  <dataValidations count="1">
    <dataValidation sqref="B2" showDropDown="0" showInputMessage="0" showErrorMessage="0" allowBlank="0" type="list">
      <formula1>"Todas,Palosolo,El Japón y San José,Otra"</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6A1B9A"/>
    <outlinePr summaryBelow="1" summaryRight="1"/>
    <pageSetUpPr fitToPage="0"/>
  </sheetPr>
  <dimension ref="A1:L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75" min="1" max="12"/>
  </cols>
  <sheetData>
    <row r="1" ht="27.75" customHeight="1" s="76">
      <c r="A1" s="99" t="inlineStr">
        <is>
          <t>📊 DASHBOARD — CONTROL DE GASTOS SOCIEDAD VARGAS MESA</t>
        </is>
      </c>
    </row>
    <row r="2" ht="18" customHeight="1" s="76">
      <c r="A2" s="122" t="inlineStr">
        <is>
          <t>INDICADORES CLAVE — MES ACTUAL</t>
        </is>
      </c>
    </row>
    <row r="3" ht="19.5" customHeight="1" s="76">
      <c r="A3" s="123" t="inlineStr">
        <is>
          <t>PRESUPUESTO MENSUAL</t>
        </is>
      </c>
      <c r="C3" s="124" t="inlineStr">
        <is>
          <t>GASTO MES ACTUAL</t>
        </is>
      </c>
      <c r="E3" s="125" t="inlineStr">
        <is>
          <t>% EJECUCIÓN</t>
        </is>
      </c>
      <c r="G3" s="126" t="inlineStr">
        <is>
          <t>GASTO ANUAL</t>
        </is>
      </c>
      <c r="I3" s="127" t="inlineStr">
        <is>
          <t>TRANSACCIONES MES</t>
        </is>
      </c>
      <c r="K3" s="128" t="inlineStr">
        <is>
          <t>SEMÁFORO PRESUPUESTAL</t>
        </is>
      </c>
    </row>
    <row r="4" ht="39.75" customHeight="1" s="76">
      <c r="A4" s="129">
        <f>Presupuesto!C2</f>
        <v/>
      </c>
      <c r="C4" s="130">
        <f>SUMPRODUCT((MONTH('Registro de Gastos'!A4:A103)=MONTH(TODAY()))*(YEAR('Registro de Gastos'!A4:A103)=YEAR(TODAY()))*'Registro de Gastos'!G4:G103)</f>
        <v/>
      </c>
      <c r="E4" s="131">
        <f>IF(Presupuesto!C2=0,"-",C4/Presupuesto!C2)</f>
        <v/>
      </c>
      <c r="G4" s="132">
        <f>SUMPRODUCT((YEAR('Registro de Gastos'!A4:A103)=YEAR(TODAY()))*'Registro de Gastos'!G4:G103)</f>
        <v/>
      </c>
      <c r="I4" s="133">
        <f>COUNTIFS('Registro de Gastos'!A4:A103,"&gt;="&amp;DATE(YEAR(TODAY()),MONTH(TODAY()),1),'Registro de Gastos'!A4:A103,"&lt;="&amp;EOMONTH(TODAY(),0))</f>
        <v/>
      </c>
      <c r="K4" s="134">
        <f>IF(Presupuesto!C2=0,"N/D",IF(C4/Presupuesto!C2&lt;=0.8,"🟢 NORMAL",IF(C4/Presupuesto!C2&lt;=1,"🟡 ELEVADO","🔴 CRÍTICO")))</f>
        <v/>
      </c>
    </row>
    <row r="5"/>
    <row r="6" ht="21.75" customHeight="1" s="76">
      <c r="A6" s="79" t="inlineStr">
        <is>
          <t>MES</t>
        </is>
      </c>
      <c r="B6" s="79" t="inlineStr">
        <is>
          <t>GASTOS ($COP)</t>
        </is>
      </c>
      <c r="C6" s="79" t="inlineStr">
        <is>
          <t>PRESUPUESTO</t>
        </is>
      </c>
      <c r="E6" s="79" t="inlineStr">
        <is>
          <t>CATEGORÍA</t>
        </is>
      </c>
      <c r="F6" s="79" t="inlineStr">
        <is>
          <t>GASTO MES ($)</t>
        </is>
      </c>
    </row>
    <row r="7" ht="15" customHeight="1" s="76">
      <c r="A7" s="135" t="inlineStr">
        <is>
          <t>Ene</t>
        </is>
      </c>
      <c r="B7" s="115">
        <f>SUMPRODUCT((MONTH('Registro de Gastos'!A4:A103)=1)*(YEAR('Registro de Gastos'!A4:A103)=YEAR(TODAY()))*'Registro de Gastos'!G4:G103)</f>
        <v/>
      </c>
      <c r="C7" s="115">
        <f>Presupuesto!$C$2</f>
        <v/>
      </c>
      <c r="E7" s="112" t="inlineStr">
        <is>
          <t>Droga veterinaria</t>
        </is>
      </c>
      <c r="F7" s="115">
        <f>SUMPRODUCT(('Registro de Gastos'!C4:C103=E7)*(MONTH('Registro de Gastos'!A4:A103)=MONTH(TODAY()))*(YEAR('Registro de Gastos'!A4:A103)=YEAR(TODAY()))*'Registro de Gastos'!G4:G103)</f>
        <v/>
      </c>
    </row>
    <row r="8" ht="15" customHeight="1" s="76">
      <c r="A8" s="136" t="inlineStr">
        <is>
          <t>Feb</t>
        </is>
      </c>
      <c r="B8" s="108">
        <f>SUMPRODUCT((MONTH('Registro de Gastos'!A4:A103)=2)*(YEAR('Registro de Gastos'!A4:A103)=YEAR(TODAY()))*'Registro de Gastos'!G4:G103)</f>
        <v/>
      </c>
      <c r="C8" s="108">
        <f>Presupuesto!$C$2</f>
        <v/>
      </c>
      <c r="E8" s="105" t="inlineStr">
        <is>
          <t>Insumos</t>
        </is>
      </c>
      <c r="F8" s="108">
        <f>SUMPRODUCT(('Registro de Gastos'!C4:C103=E8)*(MONTH('Registro de Gastos'!A4:A103)=MONTH(TODAY()))*(YEAR('Registro de Gastos'!A4:A103)=YEAR(TODAY()))*'Registro de Gastos'!G4:G103)</f>
        <v/>
      </c>
    </row>
    <row r="9" ht="15" customHeight="1" s="76">
      <c r="A9" s="135" t="inlineStr">
        <is>
          <t>Mar</t>
        </is>
      </c>
      <c r="B9" s="115">
        <f>SUMPRODUCT((MONTH('Registro de Gastos'!A4:A103)=3)*(YEAR('Registro de Gastos'!A4:A103)=YEAR(TODAY()))*'Registro de Gastos'!G4:G103)</f>
        <v/>
      </c>
      <c r="C9" s="115">
        <f>Presupuesto!$C$2</f>
        <v/>
      </c>
      <c r="E9" s="112" t="inlineStr">
        <is>
          <t>Mano de obra</t>
        </is>
      </c>
      <c r="F9" s="115">
        <f>SUMPRODUCT(('Registro de Gastos'!C4:C103=E9)*(MONTH('Registro de Gastos'!A4:A103)=MONTH(TODAY()))*(YEAR('Registro de Gastos'!A4:A103)=YEAR(TODAY()))*'Registro de Gastos'!G4:G103)</f>
        <v/>
      </c>
    </row>
    <row r="10" ht="15" customHeight="1" s="76">
      <c r="A10" s="136" t="inlineStr">
        <is>
          <t>Abr</t>
        </is>
      </c>
      <c r="B10" s="108">
        <f>SUMPRODUCT((MONTH('Registro de Gastos'!A4:A103)=4)*(YEAR('Registro de Gastos'!A4:A103)=YEAR(TODAY()))*'Registro de Gastos'!G4:G103)</f>
        <v/>
      </c>
      <c r="C10" s="108">
        <f>Presupuesto!$C$2</f>
        <v/>
      </c>
      <c r="E10" s="105" t="inlineStr">
        <is>
          <t>Equipos y mantenimiento</t>
        </is>
      </c>
      <c r="F10" s="108">
        <f>SUMPRODUCT(('Registro de Gastos'!C4:C103=E10)*(MONTH('Registro de Gastos'!A4:A103)=MONTH(TODAY()))*(YEAR('Registro de Gastos'!A4:A103)=YEAR(TODAY()))*'Registro de Gastos'!G4:G103)</f>
        <v/>
      </c>
    </row>
    <row r="11" ht="15" customHeight="1" s="76">
      <c r="A11" s="135" t="inlineStr">
        <is>
          <t>May</t>
        </is>
      </c>
      <c r="B11" s="115">
        <f>SUMPRODUCT((MONTH('Registro de Gastos'!A4:A103)=5)*(YEAR('Registro de Gastos'!A4:A103)=YEAR(TODAY()))*'Registro de Gastos'!G4:G103)</f>
        <v/>
      </c>
      <c r="C11" s="115">
        <f>Presupuesto!$C$2</f>
        <v/>
      </c>
      <c r="E11" s="112" t="inlineStr">
        <is>
          <t>Transporte</t>
        </is>
      </c>
      <c r="F11" s="115">
        <f>SUMPRODUCT(('Registro de Gastos'!C4:C103=E11)*(MONTH('Registro de Gastos'!A4:A103)=MONTH(TODAY()))*(YEAR('Registro de Gastos'!A4:A103)=YEAR(TODAY()))*'Registro de Gastos'!G4:G103)</f>
        <v/>
      </c>
    </row>
    <row r="12" ht="15" customHeight="1" s="76">
      <c r="A12" s="136" t="inlineStr">
        <is>
          <t>Jun</t>
        </is>
      </c>
      <c r="B12" s="108">
        <f>SUMPRODUCT((MONTH('Registro de Gastos'!A4:A103)=6)*(YEAR('Registro de Gastos'!A4:A103)=YEAR(TODAY()))*'Registro de Gastos'!G4:G103)</f>
        <v/>
      </c>
      <c r="C12" s="108">
        <f>Presupuesto!$C$2</f>
        <v/>
      </c>
      <c r="E12" s="105" t="inlineStr">
        <is>
          <t>Víveres y mercado</t>
        </is>
      </c>
      <c r="F12" s="108">
        <f>SUMPRODUCT(('Registro de Gastos'!C4:C103=E12)*(MONTH('Registro de Gastos'!A4:A103)=MONTH(TODAY()))*(YEAR('Registro de Gastos'!A4:A103)=YEAR(TODAY()))*'Registro de Gastos'!G4:G103)</f>
        <v/>
      </c>
    </row>
    <row r="13" ht="15" customHeight="1" s="76">
      <c r="A13" s="135" t="inlineStr">
        <is>
          <t>Jul</t>
        </is>
      </c>
      <c r="B13" s="115">
        <f>SUMPRODUCT((MONTH('Registro de Gastos'!A4:A103)=7)*(YEAR('Registro de Gastos'!A4:A103)=YEAR(TODAY()))*'Registro de Gastos'!G4:G103)</f>
        <v/>
      </c>
      <c r="C13" s="115">
        <f>Presupuesto!$C$2</f>
        <v/>
      </c>
      <c r="E13" s="112" t="inlineStr">
        <is>
          <t>Locativos</t>
        </is>
      </c>
      <c r="F13" s="115">
        <f>SUMPRODUCT(('Registro de Gastos'!C4:C103=E13)*(MONTH('Registro de Gastos'!A4:A103)=MONTH(TODAY()))*(YEAR('Registro de Gastos'!A4:A103)=YEAR(TODAY()))*'Registro de Gastos'!G4:G103)</f>
        <v/>
      </c>
    </row>
    <row r="14" ht="15" customHeight="1" s="76">
      <c r="A14" s="136" t="inlineStr">
        <is>
          <t>Ago</t>
        </is>
      </c>
      <c r="B14" s="108">
        <f>SUMPRODUCT((MONTH('Registro de Gastos'!A4:A103)=8)*(YEAR('Registro de Gastos'!A4:A103)=YEAR(TODAY()))*'Registro de Gastos'!G4:G103)</f>
        <v/>
      </c>
      <c r="C14" s="108">
        <f>Presupuesto!$C$2</f>
        <v/>
      </c>
      <c r="E14" s="105" t="inlineStr">
        <is>
          <t>Servicios públicos</t>
        </is>
      </c>
      <c r="F14" s="108">
        <f>SUMPRODUCT(('Registro de Gastos'!C4:C103=E14)*(MONTH('Registro de Gastos'!A4:A103)=MONTH(TODAY()))*(YEAR('Registro de Gastos'!A4:A103)=YEAR(TODAY()))*'Registro de Gastos'!G4:G103)</f>
        <v/>
      </c>
    </row>
    <row r="15" ht="15" customHeight="1" s="76">
      <c r="A15" s="135" t="inlineStr">
        <is>
          <t>Sep</t>
        </is>
      </c>
      <c r="B15" s="115">
        <f>SUMPRODUCT((MONTH('Registro de Gastos'!A4:A103)=9)*(YEAR('Registro de Gastos'!A4:A103)=YEAR(TODAY()))*'Registro de Gastos'!G4:G103)</f>
        <v/>
      </c>
      <c r="C15" s="115">
        <f>Presupuesto!$C$2</f>
        <v/>
      </c>
      <c r="E15" s="75" t="inlineStr">
        <is>
          <t>Otros</t>
        </is>
      </c>
    </row>
    <row r="16" ht="15" customHeight="1" s="76">
      <c r="A16" s="136" t="inlineStr">
        <is>
          <t>Oct</t>
        </is>
      </c>
      <c r="B16" s="108">
        <f>SUMPRODUCT((MONTH('Registro de Gastos'!A4:A103)=10)*(YEAR('Registro de Gastos'!A4:A103)=YEAR(TODAY()))*'Registro de Gastos'!G4:G103)</f>
        <v/>
      </c>
      <c r="C16" s="108">
        <f>Presupuesto!$C$2</f>
        <v/>
      </c>
    </row>
    <row r="17" ht="15" customHeight="1" s="76">
      <c r="A17" s="135" t="inlineStr">
        <is>
          <t>Nov</t>
        </is>
      </c>
      <c r="B17" s="115">
        <f>SUMPRODUCT((MONTH('Registro de Gastos'!A4:A103)=11)*(YEAR('Registro de Gastos'!A4:A103)=YEAR(TODAY()))*'Registro de Gastos'!G4:G103)</f>
        <v/>
      </c>
      <c r="C17" s="115">
        <f>Presupuesto!$C$2</f>
        <v/>
      </c>
    </row>
    <row r="18" ht="15" customHeight="1" s="76">
      <c r="A18" s="136" t="inlineStr">
        <is>
          <t>Dic</t>
        </is>
      </c>
      <c r="B18" s="108">
        <f>SUMPRODUCT((MONTH('Registro de Gastos'!A4:A103)=12)*(YEAR('Registro de Gastos'!A4:A103)=YEAR(TODAY()))*'Registro de Gastos'!G4:G103)</f>
        <v/>
      </c>
      <c r="C18" s="108">
        <f>Presupuesto!$C$2</f>
        <v/>
      </c>
    </row>
  </sheetData>
  <mergeCells count="14">
    <mergeCell ref="A4:B4"/>
    <mergeCell ref="G4:H4"/>
    <mergeCell ref="A2:L2"/>
    <mergeCell ref="E4:F4"/>
    <mergeCell ref="I4:J4"/>
    <mergeCell ref="I3:J3"/>
    <mergeCell ref="A1:L1"/>
    <mergeCell ref="K4:L4"/>
    <mergeCell ref="C3:D3"/>
    <mergeCell ref="A3:B3"/>
    <mergeCell ref="G3:H3"/>
    <mergeCell ref="E3:F3"/>
    <mergeCell ref="K3:L3"/>
    <mergeCell ref="C4:D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tabColor rgb="FFE65100"/>
    <outlinePr summaryBelow="1" summaryRight="1"/>
    <pageSetUpPr fitToPage="0"/>
  </sheetPr>
  <dimension ref="A1:F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75" min="1" max="1"/>
    <col width="18" customWidth="1" style="75" min="2" max="2"/>
    <col width="20" customWidth="1" style="75" min="3" max="3"/>
    <col width="16" customWidth="1" style="75" min="4" max="4"/>
    <col width="14" customWidth="1" style="75" min="5" max="6"/>
    <col width="14" customWidth="1" style="76" min="6" max="6"/>
  </cols>
  <sheetData>
    <row r="1" ht="28" customHeight="1" s="76">
      <c r="A1" s="167" t="inlineStr">
        <is>
          <t>PRESUPUESTO — SOCIEDAD VARGAS MESA</t>
        </is>
      </c>
    </row>
    <row r="2" ht="28" customHeight="1" s="76">
      <c r="A2" s="168" t="inlineStr">
        <is>
          <t>PRESUPUESTO TOTAL MENSUAL ($COP):</t>
        </is>
      </c>
      <c r="C2" s="169" t="n">
        <v>6000000</v>
      </c>
      <c r="D2" s="170" t="inlineStr">
        <is>
          <t>← EDITAR AQUÍ</t>
        </is>
      </c>
      <c r="E2" s="155" t="n"/>
      <c r="F2" s="155" t="n"/>
    </row>
    <row r="3" ht="28" customHeight="1" s="76">
      <c r="A3" s="157" t="inlineStr">
        <is>
          <t>Categoría</t>
        </is>
      </c>
      <c r="B3" s="157" t="inlineStr">
        <is>
          <t>Presupuesto ($)</t>
        </is>
      </c>
      <c r="C3" s="157" t="inlineStr">
        <is>
          <t>Gasto Real Mes ($)</t>
        </is>
      </c>
      <c r="D3" s="157" t="inlineStr">
        <is>
          <t>Desviación ($)</t>
        </is>
      </c>
      <c r="E3" s="157" t="inlineStr">
        <is>
          <t>Desviación (%)</t>
        </is>
      </c>
      <c r="F3" s="157" t="inlineStr">
        <is>
          <t>Estado</t>
        </is>
      </c>
    </row>
    <row r="4" ht="15" customHeight="1" s="76">
      <c r="A4" s="171" t="inlineStr">
        <is>
          <t>Droga veterinaria</t>
        </is>
      </c>
      <c r="B4" s="172" t="n">
        <v>800000</v>
      </c>
      <c r="C4" s="173">
        <f>SUMPRODUCT(('Registro de Gastos'!C4:C103=A4)*(IFERROR(MONTH('Registro de Gastos'!A4:A103),0)=MONTH(TODAY()))*(IFERROR(YEAR('Registro de Gastos'!A4:A103),0)=YEAR(TODAY()))*'Registro de Gastos'!G4:G103)</f>
        <v/>
      </c>
      <c r="D4" s="173">
        <f>C4-B4</f>
        <v/>
      </c>
      <c r="E4" s="174">
        <f>IF(B4=0,"-",C4/B4-1)</f>
        <v/>
      </c>
      <c r="F4" s="175">
        <f>IF(B4=0,"-",IF(C4/B4&lt;=0.8,"✅ Normal",IF(C4/B4&lt;=1,"⚠ Elevado","🔴 Crítico")))</f>
        <v/>
      </c>
    </row>
    <row r="5">
      <c r="A5" s="176" t="inlineStr">
        <is>
          <t>Insumos</t>
        </is>
      </c>
      <c r="B5" s="177" t="n">
        <v>900000</v>
      </c>
      <c r="C5" s="178">
        <f>SUMPRODUCT(('Registro de Gastos'!C4:C103=A5)*(IFERROR(MONTH('Registro de Gastos'!A4:A103),0)=MONTH(TODAY()))*(IFERROR(YEAR('Registro de Gastos'!A4:A103),0)=YEAR(TODAY()))*'Registro de Gastos'!G4:G103)</f>
        <v/>
      </c>
      <c r="D5" s="178">
        <f>C5-B5</f>
        <v/>
      </c>
      <c r="E5" s="179">
        <f>IF(B5=0,"-",C5/B5-1)</f>
        <v/>
      </c>
      <c r="F5" s="180">
        <f>IF(B5=0,"-",IF(C5/B5&lt;=0.8,"✅ Normal",IF(C5/B5&lt;=1,"⚠ Elevado","🔴 Crítico")))</f>
        <v/>
      </c>
    </row>
    <row r="6" ht="27.75" customHeight="1" s="76">
      <c r="A6" s="171" t="inlineStr">
        <is>
          <t>Mano de obra</t>
        </is>
      </c>
      <c r="B6" s="172" t="n">
        <v>1200000</v>
      </c>
      <c r="C6" s="173">
        <f>SUMPRODUCT(('Registro de Gastos'!C4:C103=A6)*(IFERROR(MONTH('Registro de Gastos'!A4:A103),0)=MONTH(TODAY()))*(IFERROR(YEAR('Registro de Gastos'!A4:A103),0)=YEAR(TODAY()))*'Registro de Gastos'!G4:G103)</f>
        <v/>
      </c>
      <c r="D6" s="173">
        <f>C6-B6</f>
        <v/>
      </c>
      <c r="E6" s="174">
        <f>IF(B6=0,"-",C6/B6-1)</f>
        <v/>
      </c>
      <c r="F6" s="175">
        <f>IF(B6=0,"-",IF(C6/B6&lt;=0.8,"✅ Normal",IF(C6/B6&lt;=1,"⚠ Elevado","🔴 Crítico")))</f>
        <v/>
      </c>
    </row>
    <row r="7" ht="27.75" customHeight="1" s="76">
      <c r="A7" s="176" t="inlineStr">
        <is>
          <t>Equipos y mantenimiento</t>
        </is>
      </c>
      <c r="B7" s="177" t="n">
        <v>600000</v>
      </c>
      <c r="C7" s="178">
        <f>SUMPRODUCT(('Registro de Gastos'!C4:C103=A7)*(IFERROR(MONTH('Registro de Gastos'!A4:A103),0)=MONTH(TODAY()))*(IFERROR(YEAR('Registro de Gastos'!A4:A103),0)=YEAR(TODAY()))*'Registro de Gastos'!G4:G103)</f>
        <v/>
      </c>
      <c r="D7" s="178">
        <f>C7-B7</f>
        <v/>
      </c>
      <c r="E7" s="179">
        <f>IF(B7=0,"-",C7/B7-1)</f>
        <v/>
      </c>
      <c r="F7" s="180">
        <f>IF(B7=0,"-",IF(C7/B7&lt;=0.8,"✅ Normal",IF(C7/B7&lt;=1,"⚠ Elevado","🔴 Crítico")))</f>
        <v/>
      </c>
    </row>
    <row r="8" ht="30" customHeight="1" s="76">
      <c r="A8" s="171" t="inlineStr">
        <is>
          <t>Víveres y mercado</t>
        </is>
      </c>
      <c r="B8" s="172" t="n">
        <v>500000</v>
      </c>
      <c r="C8" s="173">
        <f>SUMPRODUCT(('Registro de Gastos'!C4:C103=A8)*(IFERROR(MONTH('Registro de Gastos'!A4:A103),0)=MONTH(TODAY()))*(IFERROR(YEAR('Registro de Gastos'!A4:A103),0)=YEAR(TODAY()))*'Registro de Gastos'!G4:G103)</f>
        <v/>
      </c>
      <c r="D8" s="173">
        <f>C8-B8</f>
        <v/>
      </c>
      <c r="E8" s="174">
        <f>IF(B8=0,"-",C8/B8-1)</f>
        <v/>
      </c>
      <c r="F8" s="175">
        <f>IF(B8=0,"-",IF(C8/B8&lt;=0.8,"✅ Normal",IF(C8/B8&lt;=1,"⚠ Elevado","🔴 Crítico")))</f>
        <v/>
      </c>
    </row>
    <row r="9" ht="15" customHeight="1" s="76">
      <c r="A9" s="176" t="inlineStr">
        <is>
          <t>Locativos</t>
        </is>
      </c>
      <c r="B9" s="177" t="n">
        <v>400000</v>
      </c>
      <c r="C9" s="178">
        <f>SUMPRODUCT(('Registro de Gastos'!C4:C103=A9)*(IFERROR(MONTH('Registro de Gastos'!A4:A103),0)=MONTH(TODAY()))*(IFERROR(YEAR('Registro de Gastos'!A4:A103),0)=YEAR(TODAY()))*'Registro de Gastos'!G4:G103)</f>
        <v/>
      </c>
      <c r="D9" s="178">
        <f>C9-B9</f>
        <v/>
      </c>
      <c r="E9" s="179">
        <f>IF(B9=0,"-",C9/B9-1)</f>
        <v/>
      </c>
      <c r="F9" s="180">
        <f>IF(B9=0,"-",IF(C9/B9&lt;=0.8,"✅ Normal",IF(C9/B9&lt;=1,"⚠ Elevado","🔴 Crítico")))</f>
        <v/>
      </c>
    </row>
    <row r="10" ht="15" customHeight="1" s="76">
      <c r="A10" s="171" t="inlineStr">
        <is>
          <t>Servicios públicos</t>
        </is>
      </c>
      <c r="B10" s="172" t="n">
        <v>300000</v>
      </c>
      <c r="C10" s="173">
        <f>SUMPRODUCT(('Registro de Gastos'!C4:C103=A10)*(IFERROR(MONTH('Registro de Gastos'!A4:A103),0)=MONTH(TODAY()))*(IFERROR(YEAR('Registro de Gastos'!A4:A103),0)=YEAR(TODAY()))*'Registro de Gastos'!G4:G103)</f>
        <v/>
      </c>
      <c r="D10" s="173">
        <f>C10-B10</f>
        <v/>
      </c>
      <c r="E10" s="174">
        <f>IF(B10=0,"-",C10/B10-1)</f>
        <v/>
      </c>
      <c r="F10" s="175">
        <f>IF(B10=0,"-",IF(C10/B10&lt;=0.8,"✅ Normal",IF(C10/B10&lt;=1,"⚠ Elevado","🔴 Crítico")))</f>
        <v/>
      </c>
    </row>
    <row r="11" ht="15" customHeight="1" s="76">
      <c r="A11" s="176" t="inlineStr">
        <is>
          <t>Otros</t>
        </is>
      </c>
      <c r="B11" s="177" t="n">
        <v>900000</v>
      </c>
      <c r="C11" s="178">
        <f>SUMPRODUCT(('Registro de Gastos'!C4:C103=A11)*(IFERROR(MONTH('Registro de Gastos'!A4:A103),0)=MONTH(TODAY()))*(IFERROR(YEAR('Registro de Gastos'!A4:A103),0)=YEAR(TODAY()))*'Registro de Gastos'!G4:G103)</f>
        <v/>
      </c>
      <c r="D11" s="178">
        <f>C11-B11</f>
        <v/>
      </c>
      <c r="E11" s="179">
        <f>IF(B11=0,"-",C11/B11-1)</f>
        <v/>
      </c>
      <c r="F11" s="180">
        <f>IF(B11=0,"-",IF(C11/B11&lt;=0.8,"✅ Normal",IF(C11/B11&lt;=1,"⚠ Elevado","🔴 Crítico")))</f>
        <v/>
      </c>
    </row>
    <row r="12" ht="15" customHeight="1" s="76">
      <c r="A12" s="208" t="inlineStr">
        <is>
          <t>TOTALES</t>
        </is>
      </c>
      <c r="B12" s="209">
        <f>SUM(B4:B11)</f>
        <v/>
      </c>
      <c r="C12" s="209">
        <f>SUM(C4:C11)</f>
        <v/>
      </c>
      <c r="D12" s="209">
        <f>C12-B12</f>
        <v/>
      </c>
      <c r="E12" s="210">
        <f>IF(B12=0,"-",C12/B12-1)</f>
        <v/>
      </c>
      <c r="F12" s="208" t="n"/>
    </row>
    <row r="13" ht="15" customHeight="1" s="76">
      <c r="A13" s="211" t="n"/>
      <c r="B13" s="212" t="n"/>
      <c r="C13" s="212" t="n"/>
      <c r="D13" s="212" t="n"/>
      <c r="E13" s="213" t="n"/>
      <c r="F13" s="211" t="n"/>
    </row>
    <row r="14" ht="15" customHeight="1" s="76">
      <c r="A14" s="155" t="n"/>
      <c r="B14" s="155" t="n"/>
      <c r="C14" s="155" t="n"/>
      <c r="D14" s="155" t="n"/>
      <c r="E14" s="155" t="n"/>
      <c r="F14" s="155" t="n"/>
    </row>
    <row r="15" ht="15" customHeight="1" s="76">
      <c r="A15" s="155" t="n"/>
      <c r="B15" s="155" t="n"/>
      <c r="C15" s="155" t="n"/>
      <c r="D15" s="155" t="n"/>
      <c r="E15" s="155" t="n"/>
      <c r="F15" s="155" t="n"/>
    </row>
    <row r="16" ht="15" customHeight="1" s="76">
      <c r="A16" s="155" t="n"/>
      <c r="B16" s="155" t="n"/>
      <c r="C16" s="155" t="n"/>
      <c r="D16" s="155" t="n"/>
      <c r="E16" s="155" t="n"/>
      <c r="F16" s="155" t="n"/>
    </row>
    <row r="17" ht="15" customHeight="1" s="76">
      <c r="A17" s="155" t="n"/>
      <c r="B17" s="155" t="n"/>
      <c r="C17" s="155" t="n"/>
      <c r="D17" s="155" t="n"/>
      <c r="E17" s="155" t="n"/>
      <c r="F17" s="155" t="n"/>
    </row>
    <row r="18">
      <c r="A18" s="155" t="n"/>
      <c r="B18" s="155" t="n"/>
      <c r="C18" s="155" t="n"/>
      <c r="D18" s="155" t="n"/>
      <c r="E18" s="155" t="n"/>
      <c r="F18" s="155" t="n"/>
    </row>
    <row r="19" ht="15" customHeight="1" s="76">
      <c r="A19" s="155" t="n"/>
      <c r="B19" s="155" t="n"/>
      <c r="C19" s="155" t="n"/>
      <c r="D19" s="155" t="n"/>
      <c r="E19" s="155" t="n"/>
      <c r="F19" s="155" t="n"/>
    </row>
    <row r="20">
      <c r="A20" s="155" t="n"/>
      <c r="B20" s="155" t="n"/>
      <c r="C20" s="155" t="n"/>
      <c r="D20" s="155" t="n"/>
      <c r="E20" s="155" t="n"/>
      <c r="F20" s="155" t="n"/>
    </row>
    <row r="21">
      <c r="A21" s="155" t="n"/>
      <c r="B21" s="155" t="n"/>
      <c r="C21" s="155" t="n"/>
      <c r="D21" s="155" t="n"/>
      <c r="E21" s="155" t="n"/>
      <c r="F21" s="155" t="n"/>
    </row>
    <row r="22">
      <c r="A22" s="155" t="n"/>
      <c r="B22" s="155" t="n"/>
      <c r="C22" s="155" t="n"/>
      <c r="D22" s="155" t="n"/>
      <c r="E22" s="155" t="n"/>
      <c r="F22" s="155" t="n"/>
    </row>
    <row r="23">
      <c r="A23" s="155" t="n"/>
      <c r="B23" s="155" t="n"/>
      <c r="C23" s="155" t="n"/>
      <c r="D23" s="155" t="n"/>
      <c r="E23" s="155" t="n"/>
      <c r="F23" s="155" t="n"/>
    </row>
    <row r="24">
      <c r="A24" s="155" t="n"/>
      <c r="B24" s="155" t="n"/>
      <c r="C24" s="155" t="n"/>
      <c r="D24" s="155" t="n"/>
      <c r="E24" s="155" t="n"/>
      <c r="F24" s="155" t="n"/>
    </row>
    <row r="25">
      <c r="A25" s="155" t="n"/>
      <c r="B25" s="155" t="n"/>
      <c r="C25" s="155" t="n"/>
      <c r="D25" s="155" t="n"/>
      <c r="E25" s="155" t="n"/>
      <c r="F25" s="155" t="n"/>
    </row>
    <row r="26">
      <c r="A26" s="155" t="n"/>
      <c r="B26" s="155" t="n"/>
      <c r="C26" s="155" t="n"/>
      <c r="D26" s="155" t="n"/>
      <c r="E26" s="155" t="n"/>
      <c r="F26" s="155" t="n"/>
    </row>
    <row r="27">
      <c r="A27" s="155" t="n"/>
      <c r="B27" s="155" t="n"/>
      <c r="C27" s="155" t="n"/>
      <c r="D27" s="155" t="n"/>
      <c r="E27" s="155" t="n"/>
      <c r="F27" s="155" t="n"/>
    </row>
    <row r="28">
      <c r="A28" s="155" t="n"/>
      <c r="B28" s="155" t="n"/>
      <c r="C28" s="155" t="n"/>
      <c r="D28" s="155" t="n"/>
      <c r="E28" s="155" t="n"/>
      <c r="F28" s="155" t="n"/>
    </row>
    <row r="29">
      <c r="A29" s="155" t="n"/>
      <c r="B29" s="155" t="n"/>
      <c r="C29" s="155" t="n"/>
      <c r="D29" s="155" t="n"/>
      <c r="E29" s="155" t="n"/>
      <c r="F29" s="155" t="n"/>
    </row>
    <row r="30">
      <c r="A30" s="155" t="n"/>
      <c r="B30" s="155" t="n"/>
      <c r="C30" s="155" t="n"/>
      <c r="D30" s="155" t="n"/>
      <c r="E30" s="155" t="n"/>
      <c r="F30" s="155" t="n"/>
    </row>
  </sheetData>
  <mergeCells count="2">
    <mergeCell ref="A2:B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00695C"/>
    <outlinePr summaryBelow="1" summaryRight="1"/>
    <pageSetUpPr fitToPage="0"/>
  </sheetPr>
  <dimension ref="A1:C10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0" customWidth="1" style="75" min="1" max="1"/>
    <col width="30" customWidth="1" style="75" min="2" max="3"/>
  </cols>
  <sheetData>
    <row r="1" ht="27.75" customHeight="1" s="76">
      <c r="A1" s="148" t="inlineStr">
        <is>
          <t>🤖 PLANTILLAS DE PROMPT PARA CLAUDE — SOCIEDAD VARGAS MESA</t>
        </is>
      </c>
    </row>
    <row r="2" ht="15" customHeight="1" s="76">
      <c r="A2" s="149" t="inlineStr">
        <is>
          <t>Copia el prompt y pégalo en Claude (claude.ai) junto con los datos de tus hojas.</t>
        </is>
      </c>
    </row>
    <row r="4" ht="24" customHeight="1" s="76">
      <c r="A4" s="150" t="inlineStr">
        <is>
          <t>📋 1. REGISTRO DIARIO DE GASTOS</t>
        </is>
      </c>
      <c r="B4" s="93" t="n"/>
      <c r="C4" s="93" t="n"/>
    </row>
    <row r="5" ht="219.75" customHeight="1" s="76">
      <c r="A5" s="151" t="inlineStr">
        <is>
          <t>Soy socio de la Sociedad Vargas Mesa, fincas ganaderas y de cultivos en Aguazul y Yopal, Casanare.
Necesito registrar los siguientes gastos de hoy [FECHA] en la finca [FINCA: Aguazul/Yopal/Otra]:
[LISTA DE GASTOS — uno por línea o separados por coma]
Ejemplo: "vacuna triple bovina x50 dosis $180.000, jornal desyerbe 3 personas $120.000 c/u, gasolina $85.000"
Para cada gasto:
1. Categoría (elegir de: Sanidad animal / Alimentación animal / Insumos agrícolas / Mano de obra / Maquinaria y equipos / Transporte / Semillas y material vegetal / Administración y otros)
2. Subcategoría sugerida
3. Proveedor probable (si puedes inferirlo)
4. Cantidad, unidad y valor unitario
5. Total
Responde en tabla con columnas: Fecha | Descripción | Categoría | Subcategoría | Finca | Proveedor | Cantidad | Unidad | Valor Unit. | Total | Registrado por</t>
        </is>
      </c>
      <c r="B5" s="152" t="n"/>
      <c r="C5" s="152" t="n"/>
    </row>
    <row r="6" ht="15" customHeight="1" s="76">
      <c r="A6" s="153" t="n"/>
    </row>
    <row r="7" ht="15" customHeight="1" s="76">
      <c r="A7" s="153" t="n"/>
    </row>
    <row r="8" ht="15" customHeight="1" s="76">
      <c r="A8" s="153" t="n"/>
    </row>
    <row r="9" ht="15" customHeight="1" s="76">
      <c r="A9" s="153" t="n"/>
    </row>
    <row r="10" ht="15" customHeight="1" s="76">
      <c r="A10" s="153" t="n"/>
    </row>
    <row r="11" ht="15" customHeight="1" s="76">
      <c r="A11" s="153" t="n"/>
    </row>
    <row r="12" ht="15" customHeight="1" s="76">
      <c r="A12" s="153" t="n"/>
    </row>
    <row r="13" ht="15" customHeight="1" s="76">
      <c r="A13" s="153" t="n"/>
    </row>
    <row r="14" ht="15" customHeight="1" s="76">
      <c r="A14" s="153" t="n"/>
    </row>
    <row r="15" ht="15" customHeight="1" s="76">
      <c r="A15" s="153" t="n"/>
    </row>
    <row r="16" ht="15" customHeight="1" s="76">
      <c r="A16" s="153" t="n"/>
    </row>
    <row r="17" ht="15" customHeight="1" s="76">
      <c r="A17" s="153" t="n"/>
    </row>
    <row r="18" ht="15" customHeight="1" s="76">
      <c r="A18" s="153" t="n"/>
    </row>
    <row r="19" ht="15" customHeight="1" s="76">
      <c r="A19" s="153" t="n"/>
    </row>
    <row r="21" ht="24" customHeight="1" s="76">
      <c r="A21" s="150" t="inlineStr">
        <is>
          <t>📊 2. ANÁLISIS MENSUAL</t>
        </is>
      </c>
      <c r="B21" s="93" t="n"/>
      <c r="C21" s="93" t="n"/>
    </row>
    <row r="22" ht="219.75" customHeight="1" s="76">
      <c r="A22" s="151" t="inlineStr">
        <is>
          <t>Analiza los gastos del mes de [MES/AÑO] de la Sociedad Vargas Mesa
(ganadería bovina de carne + cultivos, Aguazul y Yopal, Casanare):
GASTOS REALES POR CATEGORÍA (copiar de Hoja "Resumen por Categoría"):
[PEGAR DATOS AQUÍ]
PRESUPUESTO MENSUAL TOTAL: $6.000.000 COP
PRESUPUESTO POR CATEGORÍA (copiar de Hoja "Presupuesto"):
[PEGAR DATOS AQUÍ]
Análisis solicitado:
1. ¿Qué 3 categorías tuvieron mayor desviación del presupuesto?
2. ¿Hay gastos inusuales o alertas? ¿Por qué podrían haberse dado?
3. Comparación con el mes anterior (si pegas datos del mes anterior también)
4. 3 recomendaciones concretas para el próximo mes
5. Calificación general: 🟢 NORMAL / 🟡 ELEVADO / 🔴 CRÍTICO — con justificación</t>
        </is>
      </c>
      <c r="B22" s="152" t="n"/>
      <c r="C22" s="152" t="n"/>
    </row>
    <row r="23" ht="15" customHeight="1" s="76">
      <c r="A23" s="153" t="n"/>
    </row>
    <row r="24" ht="15" customHeight="1" s="76">
      <c r="A24" s="153" t="n"/>
    </row>
    <row r="25" ht="15" customHeight="1" s="76">
      <c r="A25" s="153" t="n"/>
    </row>
    <row r="26" ht="15" customHeight="1" s="76">
      <c r="A26" s="153" t="n"/>
    </row>
    <row r="27" ht="15" customHeight="1" s="76">
      <c r="A27" s="153" t="n"/>
    </row>
    <row r="28" ht="15" customHeight="1" s="76">
      <c r="A28" s="153" t="n"/>
    </row>
    <row r="29" ht="15" customHeight="1" s="76">
      <c r="A29" s="153" t="n"/>
    </row>
    <row r="30" ht="15" customHeight="1" s="76">
      <c r="A30" s="153" t="n"/>
    </row>
    <row r="31" ht="15" customHeight="1" s="76">
      <c r="A31" s="153" t="n"/>
    </row>
    <row r="32" ht="15" customHeight="1" s="76">
      <c r="A32" s="153" t="n"/>
    </row>
    <row r="33" ht="15" customHeight="1" s="76">
      <c r="A33" s="153" t="n"/>
    </row>
    <row r="34" ht="15" customHeight="1" s="76">
      <c r="A34" s="153" t="n"/>
    </row>
    <row r="35" ht="15" customHeight="1" s="76">
      <c r="A35" s="153" t="n"/>
    </row>
    <row r="36" ht="15" customHeight="1" s="76">
      <c r="A36" s="153" t="n"/>
    </row>
    <row r="38" ht="24" customHeight="1" s="76">
      <c r="A38" s="150" t="inlineStr">
        <is>
          <t>📅 3. COMPARATIVO ENTRE MESES</t>
        </is>
      </c>
      <c r="B38" s="93" t="n"/>
      <c r="C38" s="93" t="n"/>
    </row>
    <row r="39" ht="219.75" customHeight="1" s="76">
      <c r="A39" s="151" t="inlineStr">
        <is>
          <t>Compara los gastos de la Sociedad Vargas Mesa entre dos meses:
MES 1 ([MES1 — copiar de Resumen]):
[DATOS MES 1]
MES 2 ([MES2 — copiar de Resumen]):
[DATOS MES 2]
Contexto: ganadería bovina + cultivos, Llanos Orientales (Casanare), Colombia.
Preguntas:
1. ¿En qué categorías aumentaron más los gastos? ¿Por qué podría ser?
2. ¿Hay patrones estacionales (temporada de lluvias, cosecha, ciclo de parición)?
3. ¿Qué categoría mejoró más en eficiencia?
4. Proyección del próximo mes basada en la tendencia
5. Semáforo por categoría: 🟢 Mejoró / 🟡 Igual / 🔴 Empeoró</t>
        </is>
      </c>
      <c r="B39" s="152" t="n"/>
      <c r="C39" s="152" t="n"/>
    </row>
    <row r="40" ht="15" customHeight="1" s="76">
      <c r="A40" s="153" t="n"/>
    </row>
    <row r="41" ht="15" customHeight="1" s="76">
      <c r="A41" s="153" t="n"/>
    </row>
    <row r="42" ht="15" customHeight="1" s="76">
      <c r="A42" s="153" t="n"/>
    </row>
    <row r="43" ht="15" customHeight="1" s="76">
      <c r="A43" s="153" t="n"/>
    </row>
    <row r="44" ht="15" customHeight="1" s="76">
      <c r="A44" s="153" t="n"/>
    </row>
    <row r="45" ht="15" customHeight="1" s="76">
      <c r="A45" s="153" t="n"/>
    </row>
    <row r="46" ht="15" customHeight="1" s="76">
      <c r="A46" s="153" t="n"/>
    </row>
    <row r="47" ht="15" customHeight="1" s="76">
      <c r="A47" s="153" t="n"/>
    </row>
    <row r="48" ht="15" customHeight="1" s="76">
      <c r="A48" s="153" t="n"/>
    </row>
    <row r="49" ht="15" customHeight="1" s="76">
      <c r="A49" s="153" t="n"/>
    </row>
    <row r="50" ht="15" customHeight="1" s="76">
      <c r="A50" s="153" t="n"/>
    </row>
    <row r="51" ht="15" customHeight="1" s="76">
      <c r="A51" s="153" t="n"/>
    </row>
    <row r="52" ht="15" customHeight="1" s="76">
      <c r="A52" s="153" t="n"/>
    </row>
    <row r="53" ht="15" customHeight="1" s="76">
      <c r="A53" s="153" t="n"/>
    </row>
    <row r="55" ht="24" customHeight="1" s="76">
      <c r="A55" s="150" t="inlineStr">
        <is>
          <t>🐄 4. PREPARACIÓN PARA VENTA/SUBASTA</t>
        </is>
      </c>
      <c r="B55" s="93" t="n"/>
      <c r="C55" s="93" t="n"/>
    </row>
    <row r="56" ht="219.75" customHeight="1" s="76">
      <c r="A56" s="151" t="inlineStr">
        <is>
          <t>Vamos a realizar una venta de ganado bovino en [FECHA SUBASTA].
Necesito evaluar la rentabilidad:
COSTOS ACUMULADOS DEL LOTE (copiar de Registro filtrado por finca/período):
[DATOS DE COSTOS]
DATOS DEL LOTE:
- Número de cabezas: [N]
- Peso promedio estimado: [KG] kg/cabeza
- Precio esperado en subasta: $[PRECIO]/kg en pie
- Costo de transporte a subasta: $[VALOR]
Por favor:
1. Costo total por cabeza y por kg
2. Margen bruto esperado (en $ y %)
3. Precio mínimo de venta para no perder dinero (punto de equilibrio)
4. ¿Conviene vender ahora o esperar? (considera estacionalidad Casanare: precios suben dic-ene)
5. ¿Qué gastos podrían reducirse antes del próximo ciclo?</t>
        </is>
      </c>
      <c r="B56" s="152" t="n"/>
      <c r="C56" s="152" t="n"/>
    </row>
    <row r="57" ht="15" customHeight="1" s="76">
      <c r="A57" s="153" t="n"/>
    </row>
    <row r="58" ht="15" customHeight="1" s="76">
      <c r="A58" s="153" t="n"/>
    </row>
    <row r="59" ht="15" customHeight="1" s="76">
      <c r="A59" s="153" t="n"/>
    </row>
    <row r="60" ht="15" customHeight="1" s="76">
      <c r="A60" s="153" t="n"/>
    </row>
    <row r="61" ht="15" customHeight="1" s="76">
      <c r="A61" s="153" t="n"/>
    </row>
    <row r="62" ht="15" customHeight="1" s="76">
      <c r="A62" s="153" t="n"/>
    </row>
    <row r="63" ht="15" customHeight="1" s="76">
      <c r="A63" s="153" t="n"/>
    </row>
    <row r="64" ht="15" customHeight="1" s="76">
      <c r="A64" s="153" t="n"/>
    </row>
    <row r="65" ht="15" customHeight="1" s="76">
      <c r="A65" s="153" t="n"/>
    </row>
    <row r="66" ht="15" customHeight="1" s="76">
      <c r="A66" s="153" t="n"/>
    </row>
    <row r="67" ht="15" customHeight="1" s="76">
      <c r="A67" s="153" t="n"/>
    </row>
    <row r="68" ht="15" customHeight="1" s="76">
      <c r="A68" s="153" t="n"/>
    </row>
    <row r="69" ht="15" customHeight="1" s="76">
      <c r="A69" s="153" t="n"/>
    </row>
    <row r="70" ht="15" customHeight="1" s="76">
      <c r="A70" s="153" t="n"/>
    </row>
    <row r="72" ht="24" customHeight="1" s="76">
      <c r="A72" s="150" t="inlineStr">
        <is>
          <t>💰 5. PRESUPUESTO VS REAL</t>
        </is>
      </c>
      <c r="B72" s="93" t="n"/>
      <c r="C72" s="93" t="n"/>
    </row>
    <row r="73" ht="219.75" customHeight="1" s="76">
      <c r="A73" s="151" t="inlineStr">
        <is>
          <t>Revisa la ejecución presupuestal de la Sociedad Vargas Mesa — [PERÍODO]:
TABLA PRESUPUESTO VS REAL (copiar de Hoja "Presupuesto"):
[PEGAR TABLA AQUÍ]
Contexto: fincas en Aguazul y Yopal, Casanare. Actividad: ganadería bovina + cultivos.
Necesito:
1. Categorías más desviadas (en $ y %) y posibles causas
2. ¿El presupuesto de $6.000.000/mes es realista? ¿Qué debería ajustarse?
3. Recomendación de presupuesto por categoría para el próximo ciclo
4. Proyección del gasto total anual si continúa la tendencia actual
5. ¿Hay oportunidades de ahorro sin afectar la operación?</t>
        </is>
      </c>
      <c r="B73" s="152" t="n"/>
      <c r="C73" s="152" t="n"/>
    </row>
    <row r="74" ht="15" customHeight="1" s="76">
      <c r="A74" s="153" t="n"/>
    </row>
    <row r="75" ht="15" customHeight="1" s="76">
      <c r="A75" s="153" t="n"/>
    </row>
    <row r="76" ht="15" customHeight="1" s="76">
      <c r="A76" s="153" t="n"/>
    </row>
    <row r="77" ht="15" customHeight="1" s="76">
      <c r="A77" s="153" t="n"/>
    </row>
    <row r="78" ht="15" customHeight="1" s="76">
      <c r="A78" s="153" t="n"/>
    </row>
    <row r="79" ht="15" customHeight="1" s="76">
      <c r="A79" s="153" t="n"/>
    </row>
    <row r="80" ht="15" customHeight="1" s="76">
      <c r="A80" s="153" t="n"/>
    </row>
    <row r="81" ht="15" customHeight="1" s="76">
      <c r="A81" s="153" t="n"/>
    </row>
    <row r="82" ht="15" customHeight="1" s="76">
      <c r="A82" s="153" t="n"/>
    </row>
    <row r="83" ht="15" customHeight="1" s="76">
      <c r="A83" s="153" t="n"/>
    </row>
    <row r="84" ht="15" customHeight="1" s="76">
      <c r="A84" s="153" t="n"/>
    </row>
    <row r="85" ht="15" customHeight="1" s="76">
      <c r="A85" s="153" t="n"/>
    </row>
    <row r="86" ht="15" customHeight="1" s="76">
      <c r="A86" s="153" t="n"/>
    </row>
    <row r="87" ht="15" customHeight="1" s="76">
      <c r="A87" s="153" t="n"/>
    </row>
    <row r="89" ht="24" customHeight="1" s="76">
      <c r="A89" s="150" t="inlineStr">
        <is>
          <t>🏡 6. ANÁLISIS COMPARATIVO POR FINCA</t>
        </is>
      </c>
      <c r="B89" s="93" t="n"/>
      <c r="C89" s="93" t="n"/>
    </row>
    <row r="90" ht="219.75" customHeight="1" s="76">
      <c r="A90" s="151" t="inlineStr">
        <is>
          <t>Compara el desempeño de gastos entre fincas de la Sociedad Vargas Mesa:
FINCA AGUAZUL (copiar de Resumen filtrando por Aguazul):
[DATOS AGUAZUL]
FINCA YOPAL (copiar de Resumen filtrando por Yopal):
[DATOS YOPAL]
OTRAS FINCAS (si aplica):
[DATOS OTRAS]
Preguntas:
1. ¿Cuál finca tiene mayor costo operativo? ¿Por cabeza o por hectárea si tienes ese dato?
2. ¿Dónde hay más oportunidades de optimización?
3. ¿Hay categorías donde una finca es más eficiente?
4. ¿Conviene centralizar compras de insumos o maquinaria entre fincas?
5. Recomendaciones para mejorar la eficiencia de la finca con mayor costo</t>
        </is>
      </c>
      <c r="B90" s="152" t="n"/>
      <c r="C90" s="152" t="n"/>
    </row>
    <row r="91" ht="15" customHeight="1" s="76">
      <c r="A91" s="153" t="n"/>
    </row>
    <row r="92" ht="15" customHeight="1" s="76">
      <c r="A92" s="153" t="n"/>
    </row>
    <row r="93" ht="15" customHeight="1" s="76">
      <c r="A93" s="153" t="n"/>
    </row>
    <row r="94" ht="15" customHeight="1" s="76">
      <c r="A94" s="153" t="n"/>
    </row>
    <row r="95" ht="15" customHeight="1" s="76">
      <c r="A95" s="153" t="n"/>
    </row>
    <row r="96" ht="15" customHeight="1" s="76">
      <c r="A96" s="153" t="n"/>
    </row>
    <row r="97" ht="15" customHeight="1" s="76">
      <c r="A97" s="153" t="n"/>
    </row>
    <row r="98" ht="15" customHeight="1" s="76">
      <c r="A98" s="153" t="n"/>
    </row>
    <row r="99" ht="15" customHeight="1" s="76">
      <c r="A99" s="153" t="n"/>
    </row>
    <row r="100" ht="15" customHeight="1" s="76">
      <c r="A100" s="153" t="n"/>
    </row>
    <row r="101" ht="15" customHeight="1" s="76">
      <c r="A101" s="153" t="n"/>
    </row>
    <row r="102" ht="15" customHeight="1" s="76">
      <c r="A102" s="153" t="n"/>
    </row>
    <row r="103" ht="15" customHeight="1" s="76">
      <c r="A103" s="153" t="n"/>
    </row>
    <row r="104" ht="15" customHeight="1" s="76">
      <c r="A104" s="153" t="n"/>
    </row>
  </sheetData>
  <mergeCells count="14">
    <mergeCell ref="A5:C19"/>
    <mergeCell ref="A1:C1"/>
    <mergeCell ref="A22:C36"/>
    <mergeCell ref="A2:C2"/>
    <mergeCell ref="A56:C70"/>
    <mergeCell ref="A89:C89"/>
    <mergeCell ref="A39:C53"/>
    <mergeCell ref="A21:C21"/>
    <mergeCell ref="A73:C87"/>
    <mergeCell ref="A55:C55"/>
    <mergeCell ref="A4:C4"/>
    <mergeCell ref="A38:C38"/>
    <mergeCell ref="A90:C104"/>
    <mergeCell ref="A72:C7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2026-04-29T01:03:54Z</dcterms:created>
  <dcterms:modified xmlns:dcterms="http://purl.org/dc/terms/" xmlns:xsi="http://www.w3.org/2001/XMLSchema-instance" xsi:type="dcterms:W3CDTF">2026-05-06T22:18:58Z</dcterms:modified>
  <cp:revision>3</cp:revision>
</cp:coreProperties>
</file>